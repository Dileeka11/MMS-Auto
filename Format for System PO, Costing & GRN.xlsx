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83D8B755-C33A-45D7-91F3-390D939E4CEA}" xr6:coauthVersionLast="36" xr6:coauthVersionMax="36" xr10:uidLastSave="{00000000-0000-0000-0000-000000000000}"/>
  <bookViews>
    <workbookView xWindow="0" yWindow="0" windowWidth="22044" windowHeight="9120" activeTab="2" xr2:uid="{3EBA931F-B9A5-4D0D-8B65-C1982D0463F4}"/>
  </bookViews>
  <sheets>
    <sheet name="PO" sheetId="1" r:id="rId1"/>
    <sheet name="COSTING" sheetId="2" r:id="rId2"/>
    <sheet name="GRN"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3" l="1"/>
  <c r="E27" i="2"/>
  <c r="C27" i="2"/>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5" i="1"/>
  <c r="E388" i="1"/>
  <c r="G388" i="1" l="1"/>
</calcChain>
</file>

<file path=xl/sharedStrings.xml><?xml version="1.0" encoding="utf-8"?>
<sst xmlns="http://schemas.openxmlformats.org/spreadsheetml/2006/main" count="893" uniqueCount="772">
  <si>
    <t>PART NO</t>
  </si>
  <si>
    <t xml:space="preserve">DESCRIPTION </t>
  </si>
  <si>
    <t>DUTY</t>
  </si>
  <si>
    <t>PAL</t>
  </si>
  <si>
    <t>CESS</t>
  </si>
  <si>
    <t>VAT</t>
  </si>
  <si>
    <t>SSCL</t>
  </si>
  <si>
    <t>ORDER QUANTITY</t>
  </si>
  <si>
    <t>BANKING</t>
  </si>
  <si>
    <t>CLEARANCE</t>
  </si>
  <si>
    <t>36DS1004</t>
  </si>
  <si>
    <t>KIT CHAIN GUIDE DISCOVER 125/135</t>
  </si>
  <si>
    <t>36DH1003</t>
  </si>
  <si>
    <t>KIT CHAIN GUIDE PULSAR 150</t>
  </si>
  <si>
    <t>36JE0003</t>
  </si>
  <si>
    <t>CHAIN GUIDE PULSAR 135</t>
  </si>
  <si>
    <t>36PA0002</t>
  </si>
  <si>
    <t>KIT CHAIN GUIDE DIS 100</t>
  </si>
  <si>
    <t>36DH4030</t>
  </si>
  <si>
    <t>CHAIN GUIDE PULSAR 180/200</t>
  </si>
  <si>
    <t>KIT CHAIN GUIDE CT100</t>
  </si>
  <si>
    <t>JE521016</t>
  </si>
  <si>
    <t>ADJUSTER TIMING CHAIN DISCOVER 125 M</t>
  </si>
  <si>
    <t>DD101407</t>
  </si>
  <si>
    <t>TENSIONER ASSY ADUSTER TIMING CHAIN GUIDE CT 100</t>
  </si>
  <si>
    <t>DS101277</t>
  </si>
  <si>
    <t>TENSIONER ASSY ADJUSTER TIMING CHAIN ISCOVER 125 (SILVER )</t>
  </si>
  <si>
    <t>DZ101075</t>
  </si>
  <si>
    <t>CAMSHAFT ASSEMBLY</t>
  </si>
  <si>
    <t>52JB0231</t>
  </si>
  <si>
    <t>CYL BLOCK ASSY DISCOVER 100 CC</t>
  </si>
  <si>
    <t>36PF0045</t>
  </si>
  <si>
    <t>CYL BLOCK ASSY PLATINA 100  NEW ES</t>
  </si>
  <si>
    <t>36JK0031</t>
  </si>
  <si>
    <t>CYL BLOCK ASSY PLATINA 125 SINGLE SPARK PLUG</t>
  </si>
  <si>
    <t>36JD0021</t>
  </si>
  <si>
    <t>CYL BLOCK PLATINA 125 DTSI</t>
  </si>
  <si>
    <t>36JZ0024</t>
  </si>
  <si>
    <t>CYL BLOCK ASSY DISCOVER 125 NEW BLACK</t>
  </si>
  <si>
    <t>36JZ0074</t>
  </si>
  <si>
    <t>CYL BLOCK ASSY DISCOVER 125 ST</t>
  </si>
  <si>
    <t>DH101864</t>
  </si>
  <si>
    <t>CYL BLOCK ASSY BLACK PULSAR 150 UG3/UG4</t>
  </si>
  <si>
    <t>DJ101371</t>
  </si>
  <si>
    <t>CYL BLOCK BLACK PULSAR 180 UG4</t>
  </si>
  <si>
    <t>36JL0007</t>
  </si>
  <si>
    <t>CYL BLOCK ASSY BLACK PULSAR 200 NS</t>
  </si>
  <si>
    <t>DJ151047</t>
  </si>
  <si>
    <t>PLATE ADJUSTER CHAIN</t>
  </si>
  <si>
    <t>SEAL OIL</t>
  </si>
  <si>
    <t>JA541212</t>
  </si>
  <si>
    <t>GASKET CLUTCH COVER</t>
  </si>
  <si>
    <t>DM101140</t>
  </si>
  <si>
    <t>GASKET CLUTCH</t>
  </si>
  <si>
    <t>DJ151037</t>
  </si>
  <si>
    <t>ADJUSTER CHAIN RH</t>
  </si>
  <si>
    <t>DJ151036</t>
  </si>
  <si>
    <t>ADJUSTER CHAIN</t>
  </si>
  <si>
    <t>DD101343</t>
  </si>
  <si>
    <t>GASKET HEAD CYLINDER</t>
  </si>
  <si>
    <t>DJ101012</t>
  </si>
  <si>
    <t>JL511011</t>
  </si>
  <si>
    <t>VALVE EXHAUST</t>
  </si>
  <si>
    <t>JA511012</t>
  </si>
  <si>
    <t>RING O HEAD COVER</t>
  </si>
  <si>
    <t>36JA0002</t>
  </si>
  <si>
    <t>KIT VALVE KIT XCD</t>
  </si>
  <si>
    <t>DT511261</t>
  </si>
  <si>
    <t>ASSLY ROCKER ARM INTAKE</t>
  </si>
  <si>
    <t>DT511262</t>
  </si>
  <si>
    <t>ASSLY ROCKER ARM EXHAUST</t>
  </si>
  <si>
    <t>DF181098</t>
  </si>
  <si>
    <t>SCREW SS M5 X L 14</t>
  </si>
  <si>
    <t>DS121020</t>
  </si>
  <si>
    <t>ELEMENT AIR FILTER</t>
  </si>
  <si>
    <t>DX121010</t>
  </si>
  <si>
    <t>36PA0012</t>
  </si>
  <si>
    <t>KIT AIR SCREW DISCOVER M</t>
  </si>
  <si>
    <t>36JD0006</t>
  </si>
  <si>
    <t>CARBERATOR KIT JET NEEDLE HARDWARE P</t>
  </si>
  <si>
    <t>36JD0005</t>
  </si>
  <si>
    <t>CARBERATOR KIT GASKET O RING</t>
  </si>
  <si>
    <t>JE551403</t>
  </si>
  <si>
    <t>HUB CLUTCH FCC</t>
  </si>
  <si>
    <t>36JK0022</t>
  </si>
  <si>
    <t>PISTON VALVE KIT</t>
  </si>
  <si>
    <t>36DD4008</t>
  </si>
  <si>
    <t>KIT PLATE CLUTCH</t>
  </si>
  <si>
    <t>36DS1201</t>
  </si>
  <si>
    <t>DIAPHRAGM PISTON DISCOVER 125/150</t>
  </si>
  <si>
    <t>36JB0021</t>
  </si>
  <si>
    <t>CARBERATOR JET KIT  DISCOVER M</t>
  </si>
  <si>
    <t>DJ121051</t>
  </si>
  <si>
    <t>DAIPHRAGM VACUM PISTON PULSAR UG3/UG4</t>
  </si>
  <si>
    <t>36JD0001</t>
  </si>
  <si>
    <t>CARBERATOR JET KIT PULSAR 135 LS</t>
  </si>
  <si>
    <t>DJ101369</t>
  </si>
  <si>
    <t>PLATE FRICTION KIT 180CC</t>
  </si>
  <si>
    <t>DU121009</t>
  </si>
  <si>
    <t>CARBURATOR ASSY CT 100</t>
  </si>
  <si>
    <t>JN581216</t>
  </si>
  <si>
    <t>CARBURETTOR ASSLY DIS135</t>
  </si>
  <si>
    <t>DD121013</t>
  </si>
  <si>
    <t>FILTER FUEL</t>
  </si>
  <si>
    <t>DD121181</t>
  </si>
  <si>
    <t>ELEMENT OIL FILTER</t>
  </si>
  <si>
    <t>JG232606</t>
  </si>
  <si>
    <t>SAET LOCK PULSAR 200</t>
  </si>
  <si>
    <t>36DK0015</t>
  </si>
  <si>
    <t>AIR FILTER ELEMENT</t>
  </si>
  <si>
    <t>JG571014</t>
  </si>
  <si>
    <t>OIL FILTER</t>
  </si>
  <si>
    <t>DM191002</t>
  </si>
  <si>
    <t>CABLE CHOKE CT100 DLX</t>
  </si>
  <si>
    <t>DS191001</t>
  </si>
  <si>
    <t>CABLE CLUTCH DISCOVER 125 / 135</t>
  </si>
  <si>
    <t>DU191013</t>
  </si>
  <si>
    <t>CABLE SM CT100 OLD</t>
  </si>
  <si>
    <t>DS191053</t>
  </si>
  <si>
    <t>CABLE SM DISCOVER 100/125/135/150</t>
  </si>
  <si>
    <t>JZ161202</t>
  </si>
  <si>
    <t>CABLE ACC CABLE DIS 150</t>
  </si>
  <si>
    <t>PF161218</t>
  </si>
  <si>
    <t>CABLE ACC CABLE PLATINA ES</t>
  </si>
  <si>
    <t>DZ191014</t>
  </si>
  <si>
    <t>CABLE SM CT100 NEW</t>
  </si>
  <si>
    <t>JZ161201</t>
  </si>
  <si>
    <t>CABLE ACC CABLE DIS 100</t>
  </si>
  <si>
    <t>PA161208</t>
  </si>
  <si>
    <t>CABLE BRAKE DISCOVER 100</t>
  </si>
  <si>
    <t>JZ161221</t>
  </si>
  <si>
    <t>CABLE ACC CABLE DIS 100 NEW MODDLE</t>
  </si>
  <si>
    <t>DU191005</t>
  </si>
  <si>
    <t>CABLE ACC CT 100 OLD</t>
  </si>
  <si>
    <t>DJ191061</t>
  </si>
  <si>
    <t>CABLE ACC CABLE 180 UG3  (DK191010)  *</t>
  </si>
  <si>
    <t>JD161200</t>
  </si>
  <si>
    <t>CABLE ACC PUL 135</t>
  </si>
  <si>
    <t>PF161217</t>
  </si>
  <si>
    <t>DJ191015</t>
  </si>
  <si>
    <t>CABLE CLUTCH  PULSAR</t>
  </si>
  <si>
    <t>DU191046</t>
  </si>
  <si>
    <t>CABLE BRAKE CT100 NEW WITH OUT AJUSTER</t>
  </si>
  <si>
    <t>DM191005</t>
  </si>
  <si>
    <t>CABLE ACC CT 100 DLX/ PLATINA100</t>
  </si>
  <si>
    <t>DM191017</t>
  </si>
  <si>
    <t>CABLE CLUTCH  CT100 - DU191006</t>
  </si>
  <si>
    <t>CABLE CLUTCH BOXER</t>
  </si>
  <si>
    <t>DU191008</t>
  </si>
  <si>
    <t>CABLE BRAKE CT100</t>
  </si>
  <si>
    <t>DU191041</t>
  </si>
  <si>
    <t>CABLE BRAKE CT100 DLX</t>
  </si>
  <si>
    <t>DZ191013</t>
  </si>
  <si>
    <t>CABLE BRAKE PLATINA 125</t>
  </si>
  <si>
    <t>DH201079</t>
  </si>
  <si>
    <t>CABLE SPEEDO SENSOR PULSAR 150</t>
  </si>
  <si>
    <t>DJ151074</t>
  </si>
  <si>
    <t>MINOR KIT CALIPER PULSAR</t>
  </si>
  <si>
    <t>DH111034</t>
  </si>
  <si>
    <t>KIT BRUSH ASSY PULSAR</t>
  </si>
  <si>
    <t>DJ151071</t>
  </si>
  <si>
    <t>KIT DISC PAD PUL DTSI</t>
  </si>
  <si>
    <t>DK151085</t>
  </si>
  <si>
    <t>PAD BRAKE RE</t>
  </si>
  <si>
    <t>DU201062</t>
  </si>
  <si>
    <t>REGULATOR CT100</t>
  </si>
  <si>
    <t>36DH4032</t>
  </si>
  <si>
    <t>KIT START CLUTHC ASSY</t>
  </si>
  <si>
    <t>DF151003</t>
  </si>
  <si>
    <t>DRUM BRAKE FR BOXER AR /</t>
  </si>
  <si>
    <t>DU151009</t>
  </si>
  <si>
    <t>DRUM BRAKE RR CT100</t>
  </si>
  <si>
    <t>JN131807</t>
  </si>
  <si>
    <t>BRAKE DISC</t>
  </si>
  <si>
    <t>DL191013</t>
  </si>
  <si>
    <t>LEVER GRIP LH CT100</t>
  </si>
  <si>
    <t>PF401417</t>
  </si>
  <si>
    <t>SWITCH CONTROL RH (SS)</t>
  </si>
  <si>
    <t>52DU0104</t>
  </si>
  <si>
    <t>LEVER COMP SUB ASSLY</t>
  </si>
  <si>
    <t>36DS1802</t>
  </si>
  <si>
    <t>KIT STEERING CONE</t>
  </si>
  <si>
    <t>DK101182</t>
  </si>
  <si>
    <t>LEVER COMPLETE ASSLY</t>
  </si>
  <si>
    <t>DH101397</t>
  </si>
  <si>
    <t>LEVER CHANGE</t>
  </si>
  <si>
    <t>JB401400</t>
  </si>
  <si>
    <t>SWITCH CONTROL LH</t>
  </si>
  <si>
    <t>DU101050</t>
  </si>
  <si>
    <t>LEVER KICK</t>
  </si>
  <si>
    <t>DH201049</t>
  </si>
  <si>
    <t>SWITCH H BAR CONTR</t>
  </si>
  <si>
    <t>52DU0575</t>
  </si>
  <si>
    <t>COWLING BLK RED</t>
  </si>
  <si>
    <t>DU74013J</t>
  </si>
  <si>
    <t>COWLING BLK RED  NEW CT100</t>
  </si>
  <si>
    <t>JD401024</t>
  </si>
  <si>
    <t>LAMP HEAD ASSEMBLY</t>
  </si>
  <si>
    <t>52DH1531</t>
  </si>
  <si>
    <t>FAIRING EB.BLK DCL P-150 BS4</t>
  </si>
  <si>
    <t>DJ201176</t>
  </si>
  <si>
    <t>PULSAR UG3/ UG4 W/O BULB</t>
  </si>
  <si>
    <t>JZ401012</t>
  </si>
  <si>
    <t>DL181010</t>
  </si>
  <si>
    <t>"NUT, WELL, 5MM "</t>
  </si>
  <si>
    <t>DU151026</t>
  </si>
  <si>
    <t>SPOKE OUTER 3.5 DIA CT 100</t>
  </si>
  <si>
    <t>DU151025</t>
  </si>
  <si>
    <t>SPOKE INNER 3.5 DIA CT 100</t>
  </si>
  <si>
    <t>DD201024</t>
  </si>
  <si>
    <t>CONDENSER</t>
  </si>
  <si>
    <t>JN181001</t>
  </si>
  <si>
    <t>WINDSHIELD</t>
  </si>
  <si>
    <t>DJ181033</t>
  </si>
  <si>
    <t>WINDSHIELD PULSAR DTS-I</t>
  </si>
  <si>
    <t>DU181031</t>
  </si>
  <si>
    <t>WIND SHIELD CT 100</t>
  </si>
  <si>
    <t>PA181281</t>
  </si>
  <si>
    <t>DK101564</t>
  </si>
  <si>
    <t>CENTER CLUTCH(FCC)</t>
  </si>
  <si>
    <t>DU101278</t>
  </si>
  <si>
    <t>SHAFT INPUT CT100</t>
  </si>
  <si>
    <t>DK101733</t>
  </si>
  <si>
    <t>ASSEMBLY LEVER SHAFT</t>
  </si>
  <si>
    <t>DU101214</t>
  </si>
  <si>
    <t>SHAFT OUTPUT</t>
  </si>
  <si>
    <t>52DU0289</t>
  </si>
  <si>
    <t>FENDOR BALCK JET</t>
  </si>
  <si>
    <t>DU101196</t>
  </si>
  <si>
    <t>SILENCER W/OUT CAT</t>
  </si>
  <si>
    <t>KBUA0516</t>
  </si>
  <si>
    <t>SCREW M5 X L16 - DL181009</t>
  </si>
  <si>
    <t>DH171014</t>
  </si>
  <si>
    <t>BUSH ARM SWING</t>
  </si>
  <si>
    <t>DP171006</t>
  </si>
  <si>
    <t>BUSHING RUBBER REAR PORK PLATINA</t>
  </si>
  <si>
    <t>DH171013</t>
  </si>
  <si>
    <t>COLLAR SWING ARM</t>
  </si>
  <si>
    <t>CHAIN TIMING BOXER /CALIBER</t>
  </si>
  <si>
    <t>DS161077</t>
  </si>
  <si>
    <t>STAND SIDE</t>
  </si>
  <si>
    <t>DH101050</t>
  </si>
  <si>
    <t>CHAIN TIMING PULSAR 150</t>
  </si>
  <si>
    <t>JE511230</t>
  </si>
  <si>
    <t>CHAIN TIMING DISCOVER 125/ PUL 135</t>
  </si>
  <si>
    <t>DX101050</t>
  </si>
  <si>
    <t>GEAR 3RD DRIVEN</t>
  </si>
  <si>
    <t>DH102053</t>
  </si>
  <si>
    <t>GEAR COMPL BALANCER IDLER</t>
  </si>
  <si>
    <t>DH161404</t>
  </si>
  <si>
    <t>HOLDER STEP LH</t>
  </si>
  <si>
    <t>DU101005</t>
  </si>
  <si>
    <t>CT100 CRANK SHAFT</t>
  </si>
  <si>
    <t>56PA0123</t>
  </si>
  <si>
    <t>FUELTANK DISCO M 94 AFTER PRIMER</t>
  </si>
  <si>
    <t>DS101360</t>
  </si>
  <si>
    <t>CYLINDER BLOCK ASSY</t>
  </si>
  <si>
    <t>JE531000</t>
  </si>
  <si>
    <t>CRANK SHAFT ASSLY PUL135</t>
  </si>
  <si>
    <t>36JF0117</t>
  </si>
  <si>
    <t>CYL BLOCK ASSY  PULSAR 160 NS</t>
  </si>
  <si>
    <t>JN521001</t>
  </si>
  <si>
    <t>CYL BLOCK ASSY DISCOVER 135</t>
  </si>
  <si>
    <t>PD161204</t>
  </si>
  <si>
    <t>ACC CABLE AVENGER</t>
  </si>
  <si>
    <t>52DZ0046</t>
  </si>
  <si>
    <t>JA521017</t>
  </si>
  <si>
    <t>ADJUSTER TIMING CHAIN DISCO 150/ PULS 135 (BLACK)</t>
  </si>
  <si>
    <t>DJ101216</t>
  </si>
  <si>
    <t>ADJUSTER TIMING CHAIN PULSAR 180 (BLACK )</t>
  </si>
  <si>
    <t>JA511204</t>
  </si>
  <si>
    <t>ARM ROCKER</t>
  </si>
  <si>
    <t>JZ511203</t>
  </si>
  <si>
    <t>DU101190</t>
  </si>
  <si>
    <t>ARM ROCKER PLATINA /CT100</t>
  </si>
  <si>
    <t>JD511207</t>
  </si>
  <si>
    <t>ARM ROCKER PLSAR135</t>
  </si>
  <si>
    <t>JE511204</t>
  </si>
  <si>
    <t>ARM ROCKER WITH ROLLER</t>
  </si>
  <si>
    <t>36DU4212</t>
  </si>
  <si>
    <t>ASSLY CYL BLOCK &amp; PISTON</t>
  </si>
  <si>
    <t>JE511213</t>
  </si>
  <si>
    <t>ASSLY EX ROCKER ARM-K11</t>
  </si>
  <si>
    <t>52JL1019</t>
  </si>
  <si>
    <t>ASSLY FR.FENDER BLACK DCAL  BS4</t>
  </si>
  <si>
    <t>JL561205</t>
  </si>
  <si>
    <t>ASSLY LEVER SHIFT BALL JOINT</t>
  </si>
  <si>
    <t>DU191048</t>
  </si>
  <si>
    <t>CABLE ACC CABLE CT100 NEW</t>
  </si>
  <si>
    <t>DJ191008</t>
  </si>
  <si>
    <t>CABLE ACC PULSAR /  DS191012</t>
  </si>
  <si>
    <t>DS191054</t>
  </si>
  <si>
    <t>CABLE BRAKE DISCOVER 125/135</t>
  </si>
  <si>
    <t>PF161227</t>
  </si>
  <si>
    <t>CABLE BRAKE PLATINA ES</t>
  </si>
  <si>
    <t>DS191013</t>
  </si>
  <si>
    <t>CABLE CHOKE DISCOVER 125/135</t>
  </si>
  <si>
    <t>JZ161210</t>
  </si>
  <si>
    <t>CABLE SM DISCOVER  150</t>
  </si>
  <si>
    <t>JZ161204</t>
  </si>
  <si>
    <t>DJ201183</t>
  </si>
  <si>
    <t>CABLE SPEEDO SENSOR PUL UG3 XCD</t>
  </si>
  <si>
    <t>DH201080</t>
  </si>
  <si>
    <t>CABLE SPEEDO SENSOR PULSAR UG4</t>
  </si>
  <si>
    <t>JN511202</t>
  </si>
  <si>
    <t>CAM SHAFT ASSLY</t>
  </si>
  <si>
    <t>JD511211</t>
  </si>
  <si>
    <t>CAM SHAFT COMP.</t>
  </si>
  <si>
    <t>DD101063</t>
  </si>
  <si>
    <t>CAMSHAFT ASSY BOXER AR</t>
  </si>
  <si>
    <t>DS101096</t>
  </si>
  <si>
    <t>CAP CAMSHAFT</t>
  </si>
  <si>
    <r>
      <t xml:space="preserve">CAP </t>
    </r>
    <r>
      <rPr>
        <b/>
        <sz val="11"/>
        <color rgb="FFFF0000"/>
        <rFont val="Calibri"/>
        <family val="2"/>
        <scheme val="minor"/>
      </rPr>
      <t>RUBBER</t>
    </r>
    <r>
      <rPr>
        <sz val="11"/>
        <color theme="1"/>
        <rFont val="Calibri"/>
        <family val="2"/>
        <scheme val="minor"/>
      </rPr>
      <t xml:space="preserve"> CHAIN COVER</t>
    </r>
  </si>
  <si>
    <t>DH111015</t>
  </si>
  <si>
    <t>CAP SPARK PLUG</t>
  </si>
  <si>
    <t>DK111011</t>
  </si>
  <si>
    <t>DD111048</t>
  </si>
  <si>
    <t>CAP SPARK PLUG RESI</t>
  </si>
  <si>
    <t>DS121005</t>
  </si>
  <si>
    <t>CAP STRAINER</t>
  </si>
  <si>
    <t>JA541021</t>
  </si>
  <si>
    <t>36DU1202</t>
  </si>
  <si>
    <t>CARBERATOR KIT IDLING SCREW CT 100</t>
  </si>
  <si>
    <t>36PA0154</t>
  </si>
  <si>
    <t>CARBERATOR KIT PISTON VALVE DISCOVER 125M</t>
  </si>
  <si>
    <t>DJ151057</t>
  </si>
  <si>
    <t>CASE METER GEAR PULSAR DT</t>
  </si>
  <si>
    <t>DH101862</t>
  </si>
  <si>
    <t>CENTER CLUTH FCC</t>
  </si>
  <si>
    <t>52DZ0047</t>
  </si>
  <si>
    <t>CHAIN ADJUSTER S/A LH</t>
  </si>
  <si>
    <t>36JA0004</t>
  </si>
  <si>
    <t>CHAIN GUIDE KIT XCD 125</t>
  </si>
  <si>
    <t>JB531005</t>
  </si>
  <si>
    <t>CHAIN TIMING PLAINA 125/DIS 150 90L</t>
  </si>
  <si>
    <t>JL511222</t>
  </si>
  <si>
    <t>CHAIN TIMING PULSAR 200NS   90L</t>
  </si>
  <si>
    <t>JA531011</t>
  </si>
  <si>
    <t>CHAIN TIMING XCD 125</t>
  </si>
  <si>
    <t>DS109905</t>
  </si>
  <si>
    <t>CHAIN TIMINNG DISCOVER 125 /135 94 LINKS</t>
  </si>
  <si>
    <t>52DY0152</t>
  </si>
  <si>
    <t>CHAINCASE UPPER &amp; LOWER CT-125 SKD</t>
  </si>
  <si>
    <t>DS101319</t>
  </si>
  <si>
    <t>CLUTCH CENTRE</t>
  </si>
  <si>
    <t>JY551402</t>
  </si>
  <si>
    <t>CLUTCH ONE WAY ASSLY</t>
  </si>
  <si>
    <t>DJ201195</t>
  </si>
  <si>
    <t>CLUTCH SWITCH</t>
  </si>
  <si>
    <t>COIL EXCITOR</t>
  </si>
  <si>
    <t>DJ151035</t>
  </si>
  <si>
    <t>COLLAR</t>
  </si>
  <si>
    <t>DK101245</t>
  </si>
  <si>
    <t>COLLAR SPROCKET PUL UG4</t>
  </si>
  <si>
    <t>DK151036</t>
  </si>
  <si>
    <t>CONNECTING LINK O</t>
  </si>
  <si>
    <t>PF531002</t>
  </si>
  <si>
    <t>CRANKSHAFT BM100/DIS100 4 SPD</t>
  </si>
  <si>
    <t>36JB0022</t>
  </si>
  <si>
    <t>CRBERATOR KIT AIR SCREW DISCOVER M</t>
  </si>
  <si>
    <t>DK181076</t>
  </si>
  <si>
    <t>CUP STEERING PULSAR 150</t>
  </si>
  <si>
    <t>DD101478</t>
  </si>
  <si>
    <t>CYL BLOCK ASSY CALIBER 115</t>
  </si>
  <si>
    <t>36du4212</t>
  </si>
  <si>
    <t>CYL BLOCK ASSY CT100 - du101218</t>
  </si>
  <si>
    <t>36PA0093</t>
  </si>
  <si>
    <t>CYL BLOCK ASSY DISCOVER 100M</t>
  </si>
  <si>
    <t>36JZ0002</t>
  </si>
  <si>
    <t>CYL BLOCK ASSY DISCOVER 150 CC</t>
  </si>
  <si>
    <t>36JZ0166</t>
  </si>
  <si>
    <t>CYL BLOCK ASSY PLATINA 125 NEW (SILVER)</t>
  </si>
  <si>
    <t>36JF0002</t>
  </si>
  <si>
    <t>CYL BLOCK ASSY PULSAR 150 NS</t>
  </si>
  <si>
    <t>CYL BLOCK BOXER CT/AT</t>
  </si>
  <si>
    <t>36JE0012</t>
  </si>
  <si>
    <t>CYL BLOCK PULSAR 135</t>
  </si>
  <si>
    <t>JZ511021</t>
  </si>
  <si>
    <t>CYLINDER HEAD COVER PULSAR135</t>
  </si>
  <si>
    <t>DF161413</t>
  </si>
  <si>
    <t>DAMPER STEP FRONT PVC</t>
  </si>
  <si>
    <t>36DH4174</t>
  </si>
  <si>
    <t>DISC PAD SET REAR CALIPER ENDU</t>
  </si>
  <si>
    <t>JZ181200</t>
  </si>
  <si>
    <t>FLAP COWLING</t>
  </si>
  <si>
    <t>DK181070</t>
  </si>
  <si>
    <t>FORK PIPE SPINNING</t>
  </si>
  <si>
    <t>JA151013</t>
  </si>
  <si>
    <t>YJR05006</t>
  </si>
  <si>
    <t>FORK PIPE SPINNING 160NS</t>
  </si>
  <si>
    <t>DG101498</t>
  </si>
  <si>
    <t>GASKET</t>
  </si>
  <si>
    <t>JL541277</t>
  </si>
  <si>
    <t>GASKET COVER CLUTCH</t>
  </si>
  <si>
    <t>JE511038</t>
  </si>
  <si>
    <t>GASKET COVER CYLINDER HEAD K11</t>
  </si>
  <si>
    <t>DH101680</t>
  </si>
  <si>
    <t>GASKET CYL HEAD</t>
  </si>
  <si>
    <t>JB511019</t>
  </si>
  <si>
    <t>GASKET CYL HEAD DIS 94</t>
  </si>
  <si>
    <t>JD521002</t>
  </si>
  <si>
    <t>GASKET CYL. BLOCK</t>
  </si>
  <si>
    <t>DH101016</t>
  </si>
  <si>
    <t>GASKET CYLINDER</t>
  </si>
  <si>
    <t>DK101003</t>
  </si>
  <si>
    <t>DK101063</t>
  </si>
  <si>
    <t>GASKET CYLINDER BLOC</t>
  </si>
  <si>
    <t>DD101007</t>
  </si>
  <si>
    <t>GASKET CYLINDER BLOCK</t>
  </si>
  <si>
    <t>JD511008</t>
  </si>
  <si>
    <t>GASKET CYLINDER HEAD</t>
  </si>
  <si>
    <t>JZ511016</t>
  </si>
  <si>
    <t>DJ101004</t>
  </si>
  <si>
    <t>GASKET CYLINDER PULSAR 180/200</t>
  </si>
  <si>
    <t>JD511010</t>
  </si>
  <si>
    <t>GASKET HEAD COVER</t>
  </si>
  <si>
    <t>JL511001</t>
  </si>
  <si>
    <t>GASKET HEAD COVER(RUBBER)</t>
  </si>
  <si>
    <t>DH101033</t>
  </si>
  <si>
    <t>JA511006</t>
  </si>
  <si>
    <t>JG591039</t>
  </si>
  <si>
    <t>GASKET MUFFLER PIPE</t>
  </si>
  <si>
    <t>DX101049</t>
  </si>
  <si>
    <t>GEAR 4TH DRIVE</t>
  </si>
  <si>
    <t>GEAR METER SCREW</t>
  </si>
  <si>
    <t>PA561402</t>
  </si>
  <si>
    <t>GEAR SHIFT LEVER</t>
  </si>
  <si>
    <t>GEAR SPEEDOMETER CT100</t>
  </si>
  <si>
    <t>DU191003</t>
  </si>
  <si>
    <t>GRIP ASSY RH</t>
  </si>
  <si>
    <t>DZ221011</t>
  </si>
  <si>
    <t>GUARD - LEG CT100</t>
  </si>
  <si>
    <t>DS181044</t>
  </si>
  <si>
    <t>HANDLE BAR DISCOVER</t>
  </si>
  <si>
    <t>JD151045</t>
  </si>
  <si>
    <t>HANDLE BAR TUBE ASSY L/H</t>
  </si>
  <si>
    <t>JD151048</t>
  </si>
  <si>
    <t>HANDLE BAR TUBE ASSY R/H</t>
  </si>
  <si>
    <t>DL191012</t>
  </si>
  <si>
    <t>HOLDER LEVER LH CT100</t>
  </si>
  <si>
    <t>JA551415</t>
  </si>
  <si>
    <t>HUB CLUTCH</t>
  </si>
  <si>
    <t>DD101493</t>
  </si>
  <si>
    <t>HUB CLUTCH CALIBER</t>
  </si>
  <si>
    <t>JB551411</t>
  </si>
  <si>
    <t>HUB CLUTCH MODIFIED</t>
  </si>
  <si>
    <t>DJ121052</t>
  </si>
  <si>
    <t>IDLING SCREW KIT</t>
  </si>
  <si>
    <t>DM191009</t>
  </si>
  <si>
    <t>INSTRUMENT CLUSTER BOXER</t>
  </si>
  <si>
    <t>DJ121044</t>
  </si>
  <si>
    <t>JET NEEDLEJN</t>
  </si>
  <si>
    <t>36PA0015</t>
  </si>
  <si>
    <t>KIT CARB O RING DISCOVER M</t>
  </si>
  <si>
    <t>36JZ0116</t>
  </si>
  <si>
    <t>KIT CARB VC SCREW</t>
  </si>
  <si>
    <t>36JZ0081</t>
  </si>
  <si>
    <t>KIT CHAIN GUIDE-D125 ST</t>
  </si>
  <si>
    <t>36PA0043</t>
  </si>
  <si>
    <t>KIT CHAIN SPROCKET DISCO</t>
  </si>
  <si>
    <t>36JE0005</t>
  </si>
  <si>
    <t>KIT CLUTCH PLATE SPRINT</t>
  </si>
  <si>
    <t>36DJ4031</t>
  </si>
  <si>
    <t>KIT END MJR MAST CYL</t>
  </si>
  <si>
    <t>36DD4002</t>
  </si>
  <si>
    <t>KIT GASKET CT 100</t>
  </si>
  <si>
    <t>36DZ0008</t>
  </si>
  <si>
    <t>KIT GEAR METER SCREW</t>
  </si>
  <si>
    <t>36DS1502</t>
  </si>
  <si>
    <t>KIT GEAR SPEEDOMETER</t>
  </si>
  <si>
    <t>DS151038</t>
  </si>
  <si>
    <t>KIT GEAR SPEEDOMETER 21T</t>
  </si>
  <si>
    <t>52DH0767</t>
  </si>
  <si>
    <t>KIT LEG GUARD (PULSAR 150)</t>
  </si>
  <si>
    <t>36DJ4032</t>
  </si>
  <si>
    <t>KIT MIN CAL END</t>
  </si>
  <si>
    <t>36DS1001</t>
  </si>
  <si>
    <t>KIT O RING HEAD CYL DISCO</t>
  </si>
  <si>
    <t>KIT OIL SEAL 4S CHAMP</t>
  </si>
  <si>
    <t>36PA0155</t>
  </si>
  <si>
    <t>KIT PILOT SCREW - DIS 125</t>
  </si>
  <si>
    <t>36JA0020</t>
  </si>
  <si>
    <t>KIT PLATE FRCI XCD/125</t>
  </si>
  <si>
    <t>36DH4041</t>
  </si>
  <si>
    <t>KIT PLATE FRICTION DISC135</t>
  </si>
  <si>
    <t>36DZ2008</t>
  </si>
  <si>
    <t>KIT ST. CONE (31MM) WITH GREASE</t>
  </si>
  <si>
    <t>36PA0216</t>
  </si>
  <si>
    <t>KIT ST. CONE N150/N160/DIS100M/125M</t>
  </si>
  <si>
    <t>36DK0076</t>
  </si>
  <si>
    <t>KIT START CLUTCH ASSY</t>
  </si>
  <si>
    <t>36DH4007</t>
  </si>
  <si>
    <t>KIT STARTER CLUTCH</t>
  </si>
  <si>
    <t>KIT VALVE CAL/BOXR</t>
  </si>
  <si>
    <t>36DS1002</t>
  </si>
  <si>
    <t>KIT VALVE DISCOVER</t>
  </si>
  <si>
    <t>36JK0011</t>
  </si>
  <si>
    <t>KIT VALVE PLATINA BM 125</t>
  </si>
  <si>
    <t>36DJ1004</t>
  </si>
  <si>
    <t>KIT VALVE PULSAR DTSI 180</t>
  </si>
  <si>
    <t>DU101185</t>
  </si>
  <si>
    <t>LEVER CHANGE WITH DAMPER</t>
  </si>
  <si>
    <t>JA561400</t>
  </si>
  <si>
    <t>LEVER COMP GEAR SHIF</t>
  </si>
  <si>
    <t>52JZ0264</t>
  </si>
  <si>
    <t>LEVER COMP GEAR SHIFT-SPR</t>
  </si>
  <si>
    <t>JD561414</t>
  </si>
  <si>
    <t>LEVER COMPLETE C</t>
  </si>
  <si>
    <t>JL561401</t>
  </si>
  <si>
    <t>LEVER COMPLETE CHANGE</t>
  </si>
  <si>
    <t>36DH4173</t>
  </si>
  <si>
    <t>MINOR KIT REAR MST CYLINDER ENDU</t>
  </si>
  <si>
    <t>DH121093</t>
  </si>
  <si>
    <t>NEEDLE ASSY</t>
  </si>
  <si>
    <t>PIN HOLLOW DOWEL</t>
  </si>
  <si>
    <t>DH181127</t>
  </si>
  <si>
    <t>PIPE FORK INNER</t>
  </si>
  <si>
    <t>DM181036</t>
  </si>
  <si>
    <t>PIPE INNER FORK BOXER</t>
  </si>
  <si>
    <t>36JE0016</t>
  </si>
  <si>
    <t>PISTON VALVE KIT PUL135</t>
  </si>
  <si>
    <t>DK101163</t>
  </si>
  <si>
    <t>PLATE CL PRESSUR</t>
  </si>
  <si>
    <t>PLATE CLUTCH</t>
  </si>
  <si>
    <t>DH101557</t>
  </si>
  <si>
    <t>JA551419</t>
  </si>
  <si>
    <t>DK101565</t>
  </si>
  <si>
    <t>PLATE CLUTCHFCC</t>
  </si>
  <si>
    <t>DE151012</t>
  </si>
  <si>
    <t>PLATE DRIVE GEAR SPEEDOME</t>
  </si>
  <si>
    <t>DH101877</t>
  </si>
  <si>
    <t>PLATE FRICTION SET</t>
  </si>
  <si>
    <t>DK101569</t>
  </si>
  <si>
    <t>PLATE PRESSURE FCC</t>
  </si>
  <si>
    <t>JG551447</t>
  </si>
  <si>
    <t>PRESSURE PLATE</t>
  </si>
  <si>
    <t>DF121003</t>
  </si>
  <si>
    <t>PUMP OIL BOXER/CAL/WIND/C</t>
  </si>
  <si>
    <t>AP201029</t>
  </si>
  <si>
    <t>RALAY STARTER</t>
  </si>
  <si>
    <t>36JZ0008</t>
  </si>
  <si>
    <t>REAIR KIT STARTER CLUTCH DIS125ST</t>
  </si>
  <si>
    <t>RING OIL</t>
  </si>
  <si>
    <t>DS101333</t>
  </si>
  <si>
    <t>Rocker Arm Assly</t>
  </si>
  <si>
    <t>DJ181087</t>
  </si>
  <si>
    <t>SEAL OIL FORK</t>
  </si>
  <si>
    <t>DL181080</t>
  </si>
  <si>
    <t>SEAL OIL FORK DOUBLE GART</t>
  </si>
  <si>
    <t>SHAFT KICK</t>
  </si>
  <si>
    <t>JD621001</t>
  </si>
  <si>
    <t>SHAFT KICK PULSAR 135</t>
  </si>
  <si>
    <t>PF591146</t>
  </si>
  <si>
    <t>SHIELD SILENCER B104D</t>
  </si>
  <si>
    <t>DJ151033</t>
  </si>
  <si>
    <t>SLEEVE REAR AXLE</t>
  </si>
  <si>
    <t>SPEEDO METER WHEEL CALI115</t>
  </si>
  <si>
    <t>DJ161218</t>
  </si>
  <si>
    <t>JD113200</t>
  </si>
  <si>
    <t>DL161048</t>
  </si>
  <si>
    <t>STAND SIDE PLATINA/CT100</t>
  </si>
  <si>
    <t>DU161144</t>
  </si>
  <si>
    <t>STAY LH CT 100</t>
  </si>
  <si>
    <t>DJ161131</t>
  </si>
  <si>
    <t>STEP MAIN RH PUL DTS-I</t>
  </si>
  <si>
    <t>JR121046</t>
  </si>
  <si>
    <t>T COLUMN ASSEMBLY UNDER 160 NS</t>
  </si>
  <si>
    <t>JC101034</t>
  </si>
  <si>
    <t>TENSIONER ASSY</t>
  </si>
  <si>
    <t>JV521003</t>
  </si>
  <si>
    <t>TENSIONER ASSY ADJUSTER TIMING CHAIN PULSAR 135 (SILVER )</t>
  </si>
  <si>
    <t>DS141014</t>
  </si>
  <si>
    <t>TUBE FUEL DISCOVER</t>
  </si>
  <si>
    <t>DD121168</t>
  </si>
  <si>
    <t>VALVE COMP FLOAT CALBER 115</t>
  </si>
  <si>
    <t>JD511202</t>
  </si>
  <si>
    <t>JD511201</t>
  </si>
  <si>
    <t>VALVE INTAKE</t>
  </si>
  <si>
    <t>JL511010</t>
  </si>
  <si>
    <t>JE511208</t>
  </si>
  <si>
    <t>VALVE INTAKE -K11</t>
  </si>
  <si>
    <t>36PF0048</t>
  </si>
  <si>
    <t>VALVE INTAKE+  EXHAUSE PLATINA</t>
  </si>
  <si>
    <t>36JZ0102</t>
  </si>
  <si>
    <t>VALVE KIT</t>
  </si>
  <si>
    <t>JA551414</t>
  </si>
  <si>
    <t>WHEEL CLUTCH</t>
  </si>
  <si>
    <t>JB551408</t>
  </si>
  <si>
    <t>JE551414</t>
  </si>
  <si>
    <t>WHEEL CLUTCH DISCOVER 150</t>
  </si>
  <si>
    <t>DJ151088</t>
  </si>
  <si>
    <t>COUPLING DAMPER RUBBER PULSAR / DISCOVER</t>
  </si>
  <si>
    <t>DK181019</t>
  </si>
  <si>
    <t>STUD M8</t>
  </si>
  <si>
    <t>DD101347</t>
  </si>
  <si>
    <t>BOLT</t>
  </si>
  <si>
    <t>DH101648</t>
  </si>
  <si>
    <t>NUT CLUTCH CENTER LO</t>
  </si>
  <si>
    <t>NUT HEXAGON FLANGE M14</t>
  </si>
  <si>
    <t>DH101195</t>
  </si>
  <si>
    <t>NUT PRIMARY DRIVE LOCK</t>
  </si>
  <si>
    <t>DG161121</t>
  </si>
  <si>
    <t>SCREW</t>
  </si>
  <si>
    <t>JZ181206</t>
  </si>
  <si>
    <t>SCREW M5 X 21L</t>
  </si>
  <si>
    <t>DD101350</t>
  </si>
  <si>
    <t>STUD - M6</t>
  </si>
  <si>
    <t>JR401032</t>
  </si>
  <si>
    <t>LAMP TAIL DRL 160NS</t>
  </si>
  <si>
    <t>JL401030</t>
  </si>
  <si>
    <t>LAMP DRL LH 200NS /400NS</t>
  </si>
  <si>
    <t>JL401031</t>
  </si>
  <si>
    <t>LAMP DRL RH 200NS/400NS</t>
  </si>
  <si>
    <t>JR401017</t>
  </si>
  <si>
    <t>LAMP HEAD 160NS</t>
  </si>
  <si>
    <t>PA581029</t>
  </si>
  <si>
    <t>AIR FILTER ELEMENT D105</t>
  </si>
  <si>
    <t>JL181237</t>
  </si>
  <si>
    <t>BRACKET UPPER MTG</t>
  </si>
  <si>
    <t>PD401014</t>
  </si>
  <si>
    <t>BULB H4 BLUE TINGE -12V55/60W</t>
  </si>
  <si>
    <t>DU111006</t>
  </si>
  <si>
    <t>CDI (DC) CT 100</t>
  </si>
  <si>
    <t>PA351200</t>
  </si>
  <si>
    <t>CDI (DC) DISCOVER 100</t>
  </si>
  <si>
    <t>DU111001</t>
  </si>
  <si>
    <t>CDI CT 100</t>
  </si>
  <si>
    <t>JZ351205</t>
  </si>
  <si>
    <t>CDI DISCOVER 100</t>
  </si>
  <si>
    <t>DJ111008</t>
  </si>
  <si>
    <t>CDI PULSAR OLD</t>
  </si>
  <si>
    <t>JF401400</t>
  </si>
  <si>
    <t>CONTROL SWITCH LH</t>
  </si>
  <si>
    <t>JL401405</t>
  </si>
  <si>
    <t>CONTROL SWITCH NS160 RH</t>
  </si>
  <si>
    <t>JF401401</t>
  </si>
  <si>
    <t>CONTROL SWITCH RH</t>
  </si>
  <si>
    <t>DJ161221</t>
  </si>
  <si>
    <t>COVER MUD RR PULSAR 125/150</t>
  </si>
  <si>
    <t>JC181022</t>
  </si>
  <si>
    <t>COVER TRAIL B</t>
  </si>
  <si>
    <t>52JZ0927</t>
  </si>
  <si>
    <t>COWL BLK WH RED DEC</t>
  </si>
  <si>
    <t>DP121034</t>
  </si>
  <si>
    <t>JA581006</t>
  </si>
  <si>
    <t>JB581005</t>
  </si>
  <si>
    <t>ELEMENT AIR FILTER BOXER</t>
  </si>
  <si>
    <t>JZ581011</t>
  </si>
  <si>
    <t>FILTER AIR ELEMENT</t>
  </si>
  <si>
    <t>JL581009</t>
  </si>
  <si>
    <t>FILTER ELEMENT</t>
  </si>
  <si>
    <t>PF581044</t>
  </si>
  <si>
    <t>FOAM ELEMENT B104D</t>
  </si>
  <si>
    <t>JZ401013</t>
  </si>
  <si>
    <t>HEAD LAMP CONTROL MODULE</t>
  </si>
  <si>
    <t>DS201035</t>
  </si>
  <si>
    <t>HEADLAMP WO BULB-RINDER</t>
  </si>
  <si>
    <t>DU201101</t>
  </si>
  <si>
    <t>LAMP HEAD CT 100 TZ</t>
  </si>
  <si>
    <t>DH181092</t>
  </si>
  <si>
    <t>LAMP SHADE ASSY</t>
  </si>
  <si>
    <t>JD151006</t>
  </si>
  <si>
    <t>DU201066</t>
  </si>
  <si>
    <t>LENS LAMP TAIL CT 100</t>
  </si>
  <si>
    <t>JZ232600</t>
  </si>
  <si>
    <t>LOCK SET 3 IN 1</t>
  </si>
  <si>
    <t>DZ181004</t>
  </si>
  <si>
    <t>LOCK SET 3 IN 1 PLATINA</t>
  </si>
  <si>
    <t>DH181069</t>
  </si>
  <si>
    <t>LOCK SET 4 IN 1</t>
  </si>
  <si>
    <t>DU181032</t>
  </si>
  <si>
    <t>LOCK SET CT 100</t>
  </si>
  <si>
    <t>PLUG</t>
  </si>
  <si>
    <t>DU101223</t>
  </si>
  <si>
    <t>PLUG DRAIN MAGNETIC</t>
  </si>
  <si>
    <t>JL402001</t>
  </si>
  <si>
    <t>REGULATOR  200 NS</t>
  </si>
  <si>
    <t>DJ201202</t>
  </si>
  <si>
    <t>REGULATOR PULSAR 150 UG4</t>
  </si>
  <si>
    <t>DJ201028</t>
  </si>
  <si>
    <t>RELAY INTERLOCKING</t>
  </si>
  <si>
    <t>DS211006</t>
  </si>
  <si>
    <t>SEAT LOCK DISCOVER 125/150</t>
  </si>
  <si>
    <t>DP161102</t>
  </si>
  <si>
    <t>SEAT LOCK PLATINA</t>
  </si>
  <si>
    <t>DH161046</t>
  </si>
  <si>
    <t>SEAT LOCK PULSAR 180 ( BLACK )</t>
  </si>
  <si>
    <t>DJ211006</t>
  </si>
  <si>
    <t>SEAT LOCK PULSAR UG3</t>
  </si>
  <si>
    <t>SPRING</t>
  </si>
  <si>
    <t>DH161066</t>
  </si>
  <si>
    <t>SPRING STAND SIDE</t>
  </si>
  <si>
    <t>JN351604</t>
  </si>
  <si>
    <t>STARTER RELAY-GROMMET</t>
  </si>
  <si>
    <t>JB351022</t>
  </si>
  <si>
    <t>STATOR ASSY DISCOVER M</t>
  </si>
  <si>
    <t>DD201155</t>
  </si>
  <si>
    <t>SWITCH CON LH CAL115C</t>
  </si>
  <si>
    <t>JL401400</t>
  </si>
  <si>
    <t>JL401401</t>
  </si>
  <si>
    <t>SWITCH CONTROL RH</t>
  </si>
  <si>
    <t>PA401405</t>
  </si>
  <si>
    <t>JB401401</t>
  </si>
  <si>
    <t>SWITCH CONTROL RH SS</t>
  </si>
  <si>
    <t>JR231612</t>
  </si>
  <si>
    <t>MIRROR LH 160NS</t>
  </si>
  <si>
    <t>JR231613</t>
  </si>
  <si>
    <t>MIRROR RH 160NS</t>
  </si>
  <si>
    <t>GRAND TOTAL</t>
  </si>
  <si>
    <t>HS CODE</t>
  </si>
  <si>
    <t>UNIT PRICE
FOB-USD</t>
  </si>
  <si>
    <t>TOTAL AMOUNT
USD-FOB</t>
  </si>
  <si>
    <t>In the PO level, we will enter this PO into system. These items, desciptions &amp; HS Codes will be taken from Item Master. We update only Quantity Unit Price &amp; Total Amount.</t>
  </si>
  <si>
    <t>PO Number</t>
  </si>
  <si>
    <t>To Select</t>
  </si>
  <si>
    <t>Shipment Number</t>
  </si>
  <si>
    <t>Details refer with costing</t>
  </si>
  <si>
    <t>Invoice No</t>
  </si>
  <si>
    <t>BL Number</t>
  </si>
  <si>
    <t>No. of packages</t>
  </si>
  <si>
    <t>Gross Weight</t>
  </si>
  <si>
    <t>Net Weight</t>
  </si>
  <si>
    <t>Shipment Type</t>
  </si>
  <si>
    <t>SEA/AIR/COURIER</t>
  </si>
  <si>
    <t>Shipment Volume</t>
  </si>
  <si>
    <t>20' / 40' / LCL</t>
  </si>
  <si>
    <t>ETD</t>
  </si>
  <si>
    <t>ETA</t>
  </si>
  <si>
    <t>Date</t>
  </si>
  <si>
    <t>Cusdec No.</t>
  </si>
  <si>
    <t>Cusdec Date</t>
  </si>
  <si>
    <t>Text</t>
  </si>
  <si>
    <t>CID</t>
  </si>
  <si>
    <t>OTHER 1</t>
  </si>
  <si>
    <t>OTHER 2</t>
  </si>
  <si>
    <t>OTHER 3</t>
  </si>
  <si>
    <t>Amount</t>
  </si>
  <si>
    <t>Freight</t>
  </si>
  <si>
    <t>Invoice No.</t>
  </si>
  <si>
    <t>Invoice Value</t>
  </si>
  <si>
    <t>Agent</t>
  </si>
  <si>
    <t>Insurance</t>
  </si>
  <si>
    <t>Policy No</t>
  </si>
  <si>
    <t>Banking Charges</t>
  </si>
  <si>
    <t>Clearance Charges</t>
  </si>
  <si>
    <t>SLPA</t>
  </si>
  <si>
    <t>Demurrage</t>
  </si>
  <si>
    <t>Amount in USD</t>
  </si>
  <si>
    <t>In the costing stage, we need to select PO &amp; enter basic details. In this level, we need to create shipment number referred with PO Number, as there may be separate shipments under one PO. (Partial shipments). After entering below details, there should be link to upload the excel in below format. No need to drop down the items here after selected PO number.</t>
  </si>
  <si>
    <t>Excel Costing Upload Button</t>
  </si>
  <si>
    <t>Excel uploaded file fomat</t>
  </si>
  <si>
    <t>SHIPMENT QUANTITY</t>
  </si>
  <si>
    <t>TOTAL AMOUNT
FOB-USD</t>
  </si>
  <si>
    <t>DEMURRAGE</t>
  </si>
  <si>
    <t>FREIGHT IN LKR</t>
  </si>
  <si>
    <t>INSURANCE IN LKR</t>
  </si>
  <si>
    <t>TOTAL AMOUNT
FOB-LKR @ BANKING RATE</t>
  </si>
  <si>
    <t>BANKING RATE</t>
  </si>
  <si>
    <t>CUSTOM RATE</t>
  </si>
  <si>
    <t>SETTLEMENT RATE</t>
  </si>
  <si>
    <t>TOTAL PRICE W/O VAT</t>
  </si>
  <si>
    <t>TOTAL PRICE WITH VAT</t>
  </si>
  <si>
    <t>UNIT COST W/O VAT</t>
  </si>
  <si>
    <t>SELLING PRICE W/O VAT</t>
  </si>
  <si>
    <t>SELLING PRICE WITH VAT</t>
  </si>
  <si>
    <t>UNIT COST WITH VAT</t>
  </si>
  <si>
    <t>Complete costing sheet also should be able to attach as an separate attachment</t>
  </si>
  <si>
    <t>these details should be updated in the system after saving the costing</t>
  </si>
  <si>
    <t>GRN Number</t>
  </si>
  <si>
    <t>Automatically Generated number</t>
  </si>
  <si>
    <t>After selected below criteria, costing completed item list should be appeared. If any received quantity changes, separate stock adjustment (shortage/excess to be done)</t>
  </si>
  <si>
    <t>After completing GRN stage, pending PO quantity to be automatically adjusted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</si>
</sst>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409]* #,##0.00_ ;_-[$$-409]* \-#,##0.00\ ;_-[$$-409]* &quot;-&quot;??_ ;_-@_ "/>
    <numFmt numFmtId="166" formatCode="_(* #,##0.000_);_(* \(#,##0.00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69">
    <xf numFmtId="0" fontId="0" fillId="0" borderId="0" xfId="0"/>
    <xf numFmtId="0" fontId="3" fillId="0" borderId="1" xfId="0" applyFont="1" applyBorder="1" applyAlignment="1">
      <alignment horizontal="center"/>
    </xf>
    <xf numFmtId="49" fontId="0" fillId="0" borderId="1" xfId="0" applyNumberFormat="1" applyBorder="1" applyAlignment="1">
      <alignment horizontal="left"/>
    </xf>
    <xf numFmtId="0" fontId="0" fillId="0" borderId="1" xfId="0" applyBorder="1"/>
    <xf numFmtId="164" fontId="0" fillId="0" borderId="1" xfId="1" applyNumberFormat="1" applyFont="1" applyBorder="1" applyAlignment="1"/>
    <xf numFmtId="165" fontId="0" fillId="0" borderId="1" xfId="0" applyNumberFormat="1" applyBorder="1"/>
    <xf numFmtId="43" fontId="0" fillId="0" borderId="0" xfId="1" applyFont="1"/>
    <xf numFmtId="0" fontId="0" fillId="0" borderId="1" xfId="0" applyNumberFormat="1" applyBorder="1" applyAlignment="1">
      <alignment horizontal="left"/>
    </xf>
    <xf numFmtId="166" fontId="0" fillId="0" borderId="1" xfId="1" applyNumberFormat="1" applyFont="1" applyBorder="1"/>
    <xf numFmtId="49" fontId="4" fillId="0" borderId="1" xfId="0" applyNumberFormat="1" applyFont="1" applyBorder="1" applyAlignment="1">
      <alignment horizontal="left"/>
    </xf>
    <xf numFmtId="0" fontId="4" fillId="0" borderId="1" xfId="0" applyFont="1" applyBorder="1"/>
    <xf numFmtId="165" fontId="4" fillId="0" borderId="1" xfId="0" applyNumberFormat="1" applyFont="1" applyBorder="1"/>
    <xf numFmtId="0" fontId="4" fillId="0" borderId="2" xfId="0" applyFont="1" applyBorder="1" applyAlignment="1">
      <alignment horizontal="center"/>
    </xf>
    <xf numFmtId="0" fontId="0" fillId="0" borderId="3" xfId="0" applyBorder="1" applyAlignment="1">
      <alignment horizontal="center"/>
    </xf>
    <xf numFmtId="43" fontId="4" fillId="0" borderId="0" xfId="1" applyFont="1"/>
    <xf numFmtId="164" fontId="3" fillId="0" borderId="1" xfId="1" applyNumberFormat="1" applyFont="1" applyFill="1" applyBorder="1" applyAlignment="1">
      <alignment horizontal="center" wrapText="1"/>
    </xf>
    <xf numFmtId="0" fontId="3" fillId="0" borderId="1" xfId="0" applyFont="1" applyBorder="1" applyAlignment="1">
      <alignment horizontal="center" vertical="center"/>
    </xf>
    <xf numFmtId="164" fontId="3" fillId="0" borderId="1" xfId="1" applyNumberFormat="1" applyFont="1" applyBorder="1" applyAlignment="1">
      <alignment horizontal="center" vertical="center"/>
    </xf>
    <xf numFmtId="164" fontId="3" fillId="0" borderId="1" xfId="1" applyNumberFormat="1" applyFont="1" applyFill="1" applyBorder="1" applyAlignment="1">
      <alignment horizontal="center" vertical="center" wrapText="1"/>
    </xf>
    <xf numFmtId="0" fontId="0" fillId="0" borderId="0" xfId="0" applyAlignment="1">
      <alignment vertical="center"/>
    </xf>
    <xf numFmtId="0" fontId="2" fillId="0" borderId="0" xfId="0" applyFont="1" applyAlignment="1">
      <alignment horizontal="left" vertical="center" wrapText="1"/>
    </xf>
    <xf numFmtId="0" fontId="3" fillId="0" borderId="1" xfId="0" applyFont="1" applyBorder="1" applyAlignment="1">
      <alignment horizontal="center"/>
    </xf>
    <xf numFmtId="0" fontId="2" fillId="0" borderId="1" xfId="0" applyFont="1" applyBorder="1" applyAlignment="1">
      <alignment horizontal="center"/>
    </xf>
    <xf numFmtId="0" fontId="2" fillId="0" borderId="1" xfId="0" applyFont="1" applyBorder="1"/>
    <xf numFmtId="164" fontId="2" fillId="0" borderId="1" xfId="1" applyNumberFormat="1" applyFont="1" applyBorder="1" applyAlignment="1"/>
    <xf numFmtId="43" fontId="3" fillId="0" borderId="1" xfId="1" applyFont="1" applyBorder="1"/>
    <xf numFmtId="0" fontId="2" fillId="0" borderId="0" xfId="0" applyFont="1"/>
    <xf numFmtId="0" fontId="2" fillId="0" borderId="0" xfId="0" applyFont="1" applyAlignment="1">
      <alignment vertical="center" wrapText="1"/>
    </xf>
    <xf numFmtId="0" fontId="2"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horizontal="center" wrapText="1"/>
    </xf>
    <xf numFmtId="0" fontId="2" fillId="2" borderId="0" xfId="0" applyFont="1" applyFill="1" applyAlignment="1">
      <alignment horizontal="left" vertical="center" wrapText="1"/>
    </xf>
    <xf numFmtId="0" fontId="2" fillId="0" borderId="0" xfId="0" applyFont="1" applyFill="1" applyAlignment="1">
      <alignment horizontal="left" vertical="center" wrapText="1"/>
    </xf>
    <xf numFmtId="0" fontId="2" fillId="0" borderId="0" xfId="0" applyFont="1" applyFill="1" applyAlignment="1">
      <alignment horizontal="left" wrapText="1"/>
    </xf>
    <xf numFmtId="0" fontId="0" fillId="0" borderId="0" xfId="0" applyFill="1"/>
    <xf numFmtId="0" fontId="2" fillId="0" borderId="0" xfId="0" applyFont="1" applyFill="1" applyAlignment="1">
      <alignment horizontal="center" vertical="center" wrapText="1"/>
    </xf>
    <xf numFmtId="0" fontId="2" fillId="0" borderId="1" xfId="0" applyFont="1" applyFill="1" applyBorder="1" applyAlignment="1">
      <alignment horizontal="left" wrapText="1"/>
    </xf>
    <xf numFmtId="0" fontId="2" fillId="0" borderId="0" xfId="0" applyFont="1" applyAlignment="1">
      <alignment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left" wrapText="1"/>
    </xf>
    <xf numFmtId="0" fontId="2" fillId="4" borderId="0" xfId="0" applyFont="1" applyFill="1" applyAlignment="1">
      <alignment horizontal="left" vertical="center" wrapText="1"/>
    </xf>
    <xf numFmtId="0" fontId="3" fillId="2" borderId="5" xfId="0" applyFont="1" applyFill="1" applyBorder="1" applyAlignment="1">
      <alignment horizontal="left"/>
    </xf>
    <xf numFmtId="164" fontId="3" fillId="0" borderId="1" xfId="1" applyNumberFormat="1" applyFont="1" applyBorder="1" applyAlignment="1">
      <alignment horizontal="center" wrapText="1"/>
    </xf>
    <xf numFmtId="0" fontId="2" fillId="2" borderId="3" xfId="0" applyFont="1" applyFill="1" applyBorder="1" applyAlignment="1">
      <alignment horizontal="left" vertical="center" wrapText="1"/>
    </xf>
    <xf numFmtId="0" fontId="2" fillId="0" borderId="0" xfId="0" applyFont="1" applyFill="1" applyAlignment="1">
      <alignment vertical="center" wrapText="1"/>
    </xf>
    <xf numFmtId="0" fontId="2" fillId="0" borderId="7" xfId="0" applyFont="1" applyFill="1" applyBorder="1" applyAlignment="1">
      <alignment vertical="center" wrapText="1"/>
    </xf>
    <xf numFmtId="0" fontId="2" fillId="3" borderId="1" xfId="0" applyFont="1" applyFill="1" applyBorder="1" applyAlignment="1">
      <alignment horizontal="left" wrapText="1"/>
    </xf>
    <xf numFmtId="0" fontId="2" fillId="0" borderId="1" xfId="0" applyFont="1" applyFill="1" applyBorder="1" applyAlignment="1">
      <alignment vertical="center" wrapText="1"/>
    </xf>
    <xf numFmtId="0" fontId="2" fillId="3" borderId="1" xfId="0" applyFont="1" applyFill="1" applyBorder="1" applyAlignment="1">
      <alignment horizontal="left" vertical="center" wrapText="1"/>
    </xf>
    <xf numFmtId="43" fontId="0" fillId="0" borderId="1" xfId="1" applyFont="1" applyBorder="1"/>
    <xf numFmtId="43" fontId="2" fillId="0" borderId="0" xfId="1" applyFont="1" applyAlignment="1">
      <alignment horizontal="center" wrapText="1"/>
    </xf>
    <xf numFmtId="164" fontId="3" fillId="5" borderId="1" xfId="1" applyNumberFormat="1" applyFont="1" applyFill="1" applyBorder="1" applyAlignment="1">
      <alignment horizontal="center" wrapText="1"/>
    </xf>
    <xf numFmtId="0" fontId="0" fillId="5" borderId="1" xfId="0" applyFill="1" applyBorder="1"/>
    <xf numFmtId="0" fontId="3" fillId="5" borderId="8" xfId="0" applyFont="1" applyFill="1" applyBorder="1" applyAlignment="1">
      <alignment horizontal="center" wrapText="1"/>
    </xf>
    <xf numFmtId="0" fontId="3" fillId="5" borderId="7" xfId="0" applyFont="1" applyFill="1" applyBorder="1" applyAlignment="1">
      <alignment horizontal="center" wrapText="1"/>
    </xf>
    <xf numFmtId="0" fontId="3" fillId="5" borderId="9" xfId="0" applyFont="1" applyFill="1" applyBorder="1" applyAlignment="1">
      <alignment horizontal="center" wrapText="1"/>
    </xf>
    <xf numFmtId="0" fontId="3" fillId="5" borderId="4" xfId="0" applyFont="1" applyFill="1" applyBorder="1" applyAlignment="1">
      <alignment horizontal="center" wrapText="1"/>
    </xf>
    <xf numFmtId="0" fontId="3" fillId="5" borderId="5" xfId="0" applyFont="1" applyFill="1" applyBorder="1" applyAlignment="1">
      <alignment horizontal="center" wrapText="1"/>
    </xf>
    <xf numFmtId="0" fontId="3" fillId="5" borderId="10" xfId="0" applyFont="1" applyFill="1" applyBorder="1" applyAlignment="1">
      <alignment horizontal="center" wrapText="1"/>
    </xf>
    <xf numFmtId="0" fontId="2" fillId="2" borderId="2" xfId="0" applyFont="1" applyFill="1" applyBorder="1" applyAlignment="1">
      <alignment vertical="center" wrapText="1"/>
    </xf>
  </cellXfs>
  <cellStyles count="2">
    <cellStyle name="Comma" xfId="1" builtinId="3"/>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51525-B000-4765-AF02-16D5E6358A6B}">
  <dimension ref="A1:G388"/>
  <sheetViews>
    <sheetView workbookViewId="0">
      <selection sqref="A1:G2"/>
    </sheetView>
  </sheetViews>
  <sheetFormatPr defaultRowHeight="14.4" x14ac:dyDescent="0.3"/>
  <cols>
    <col min="2" max="2" width="9.88671875" bestFit="1" customWidth="1"/>
    <col min="3" max="3" width="56" bestFit="1" customWidth="1"/>
    <col min="5" max="5" width="17.5546875" bestFit="1" customWidth="1"/>
    <col min="6" max="6" width="12.5546875" bestFit="1" customWidth="1"/>
    <col min="7" max="7" width="15.5546875" customWidth="1"/>
  </cols>
  <sheetData>
    <row r="1" spans="1:7" ht="14.4" customHeight="1" x14ac:dyDescent="0.3">
      <c r="A1" s="20" t="s">
        <v>712</v>
      </c>
      <c r="B1" s="20"/>
      <c r="C1" s="20"/>
      <c r="D1" s="20"/>
      <c r="E1" s="20"/>
      <c r="F1" s="20"/>
      <c r="G1" s="20"/>
    </row>
    <row r="2" spans="1:7" x14ac:dyDescent="0.3">
      <c r="A2" s="20"/>
      <c r="B2" s="20"/>
      <c r="C2" s="20"/>
      <c r="D2" s="20"/>
      <c r="E2" s="20"/>
      <c r="F2" s="20"/>
      <c r="G2" s="20"/>
    </row>
    <row r="4" spans="1:7" s="19" customFormat="1" ht="28.8" x14ac:dyDescent="0.3">
      <c r="A4" s="16" t="s">
        <v>0</v>
      </c>
      <c r="B4" s="16" t="s">
        <v>0</v>
      </c>
      <c r="C4" s="16" t="s">
        <v>1</v>
      </c>
      <c r="D4" s="16" t="s">
        <v>709</v>
      </c>
      <c r="E4" s="17" t="s">
        <v>7</v>
      </c>
      <c r="F4" s="18" t="s">
        <v>710</v>
      </c>
      <c r="G4" s="18" t="s">
        <v>711</v>
      </c>
    </row>
    <row r="5" spans="1:7" x14ac:dyDescent="0.3">
      <c r="A5" s="7">
        <v>1</v>
      </c>
      <c r="B5" s="2" t="s">
        <v>10</v>
      </c>
      <c r="C5" s="3" t="s">
        <v>11</v>
      </c>
      <c r="D5" s="3">
        <v>87141090</v>
      </c>
      <c r="E5" s="4">
        <v>700</v>
      </c>
      <c r="F5" s="5">
        <v>0.71</v>
      </c>
      <c r="G5" s="5">
        <f>F5*E5</f>
        <v>497</v>
      </c>
    </row>
    <row r="6" spans="1:7" x14ac:dyDescent="0.3">
      <c r="A6" s="7">
        <v>2</v>
      </c>
      <c r="B6" s="2" t="s">
        <v>12</v>
      </c>
      <c r="C6" s="3" t="s">
        <v>13</v>
      </c>
      <c r="D6" s="3">
        <v>87141090</v>
      </c>
      <c r="E6" s="4">
        <v>300</v>
      </c>
      <c r="F6" s="5">
        <v>0.74</v>
      </c>
      <c r="G6" s="5">
        <f t="shared" ref="G6:G69" si="0">F6*E6</f>
        <v>222</v>
      </c>
    </row>
    <row r="7" spans="1:7" x14ac:dyDescent="0.3">
      <c r="A7" s="7">
        <v>3</v>
      </c>
      <c r="B7" s="2" t="s">
        <v>14</v>
      </c>
      <c r="C7" s="3" t="s">
        <v>15</v>
      </c>
      <c r="D7" s="3">
        <v>87141090</v>
      </c>
      <c r="E7" s="4">
        <v>400</v>
      </c>
      <c r="F7" s="5">
        <v>0.79</v>
      </c>
      <c r="G7" s="5">
        <f t="shared" si="0"/>
        <v>316</v>
      </c>
    </row>
    <row r="8" spans="1:7" x14ac:dyDescent="0.3">
      <c r="A8" s="7">
        <v>4</v>
      </c>
      <c r="B8" s="2" t="s">
        <v>16</v>
      </c>
      <c r="C8" s="3" t="s">
        <v>17</v>
      </c>
      <c r="D8" s="3">
        <v>87141090</v>
      </c>
      <c r="E8" s="4">
        <v>380</v>
      </c>
      <c r="F8" s="5">
        <v>0.91</v>
      </c>
      <c r="G8" s="5">
        <f t="shared" si="0"/>
        <v>345.8</v>
      </c>
    </row>
    <row r="9" spans="1:7" x14ac:dyDescent="0.3">
      <c r="A9" s="7">
        <v>5</v>
      </c>
      <c r="B9" s="2" t="s">
        <v>18</v>
      </c>
      <c r="C9" s="3" t="s">
        <v>19</v>
      </c>
      <c r="D9" s="3">
        <v>87141090</v>
      </c>
      <c r="E9" s="4">
        <v>50</v>
      </c>
      <c r="F9" s="5">
        <v>1.08</v>
      </c>
      <c r="G9" s="5">
        <f t="shared" si="0"/>
        <v>54</v>
      </c>
    </row>
    <row r="10" spans="1:7" x14ac:dyDescent="0.3">
      <c r="A10" s="7">
        <v>6</v>
      </c>
      <c r="B10" s="7">
        <v>36311006</v>
      </c>
      <c r="C10" s="3" t="s">
        <v>20</v>
      </c>
      <c r="D10" s="3">
        <v>87141090</v>
      </c>
      <c r="E10" s="4">
        <v>960</v>
      </c>
      <c r="F10" s="8">
        <v>1.1599999999999999</v>
      </c>
      <c r="G10" s="5">
        <f t="shared" si="0"/>
        <v>1113.5999999999999</v>
      </c>
    </row>
    <row r="11" spans="1:7" x14ac:dyDescent="0.3">
      <c r="A11" s="7">
        <v>7</v>
      </c>
      <c r="B11" s="2" t="s">
        <v>21</v>
      </c>
      <c r="C11" s="3" t="s">
        <v>22</v>
      </c>
      <c r="D11" s="3">
        <v>87141090</v>
      </c>
      <c r="E11" s="4">
        <v>300</v>
      </c>
      <c r="F11" s="5">
        <v>1.43</v>
      </c>
      <c r="G11" s="5">
        <f t="shared" si="0"/>
        <v>429</v>
      </c>
    </row>
    <row r="12" spans="1:7" x14ac:dyDescent="0.3">
      <c r="A12" s="7">
        <v>8</v>
      </c>
      <c r="B12" s="2" t="s">
        <v>23</v>
      </c>
      <c r="C12" s="3" t="s">
        <v>24</v>
      </c>
      <c r="D12" s="3">
        <v>84099190</v>
      </c>
      <c r="E12" s="4">
        <v>400</v>
      </c>
      <c r="F12" s="5">
        <v>1.19</v>
      </c>
      <c r="G12" s="5">
        <f t="shared" si="0"/>
        <v>476</v>
      </c>
    </row>
    <row r="13" spans="1:7" x14ac:dyDescent="0.3">
      <c r="A13" s="7">
        <v>9</v>
      </c>
      <c r="B13" s="2" t="s">
        <v>25</v>
      </c>
      <c r="C13" s="3" t="s">
        <v>26</v>
      </c>
      <c r="D13" s="3">
        <v>84099190</v>
      </c>
      <c r="E13" s="4">
        <v>350</v>
      </c>
      <c r="F13" s="5">
        <v>1.23</v>
      </c>
      <c r="G13" s="5">
        <f t="shared" si="0"/>
        <v>430.5</v>
      </c>
    </row>
    <row r="14" spans="1:7" x14ac:dyDescent="0.3">
      <c r="A14" s="7">
        <v>10</v>
      </c>
      <c r="B14" s="2" t="s">
        <v>27</v>
      </c>
      <c r="C14" s="3" t="s">
        <v>28</v>
      </c>
      <c r="D14" s="3">
        <v>84831000</v>
      </c>
      <c r="E14" s="4">
        <v>30</v>
      </c>
      <c r="F14" s="5">
        <v>4.07</v>
      </c>
      <c r="G14" s="5">
        <f t="shared" si="0"/>
        <v>122.10000000000001</v>
      </c>
    </row>
    <row r="15" spans="1:7" x14ac:dyDescent="0.3">
      <c r="A15" s="7">
        <v>11</v>
      </c>
      <c r="B15" s="2" t="s">
        <v>29</v>
      </c>
      <c r="C15" s="3" t="s">
        <v>30</v>
      </c>
      <c r="D15" s="3">
        <v>84099190</v>
      </c>
      <c r="E15" s="4">
        <v>150</v>
      </c>
      <c r="F15" s="5">
        <v>15.91</v>
      </c>
      <c r="G15" s="5">
        <f t="shared" si="0"/>
        <v>2386.5</v>
      </c>
    </row>
    <row r="16" spans="1:7" x14ac:dyDescent="0.3">
      <c r="A16" s="7">
        <v>12</v>
      </c>
      <c r="B16" s="2" t="s">
        <v>31</v>
      </c>
      <c r="C16" s="3" t="s">
        <v>32</v>
      </c>
      <c r="D16" s="3">
        <v>84099190</v>
      </c>
      <c r="E16" s="4">
        <v>110</v>
      </c>
      <c r="F16" s="5">
        <v>17.68</v>
      </c>
      <c r="G16" s="5">
        <f t="shared" si="0"/>
        <v>1944.8</v>
      </c>
    </row>
    <row r="17" spans="1:7" x14ac:dyDescent="0.3">
      <c r="A17" s="7">
        <v>13</v>
      </c>
      <c r="B17" s="2" t="s">
        <v>33</v>
      </c>
      <c r="C17" s="3" t="s">
        <v>34</v>
      </c>
      <c r="D17" s="3">
        <v>84099190</v>
      </c>
      <c r="E17" s="4">
        <v>130</v>
      </c>
      <c r="F17" s="5">
        <v>18</v>
      </c>
      <c r="G17" s="5">
        <f t="shared" si="0"/>
        <v>2340</v>
      </c>
    </row>
    <row r="18" spans="1:7" x14ac:dyDescent="0.3">
      <c r="A18" s="7">
        <v>14</v>
      </c>
      <c r="B18" s="2" t="s">
        <v>35</v>
      </c>
      <c r="C18" s="3" t="s">
        <v>36</v>
      </c>
      <c r="D18" s="3">
        <v>84099190</v>
      </c>
      <c r="E18" s="4">
        <v>30</v>
      </c>
      <c r="F18" s="5">
        <v>18.43</v>
      </c>
      <c r="G18" s="5">
        <f t="shared" si="0"/>
        <v>552.9</v>
      </c>
    </row>
    <row r="19" spans="1:7" x14ac:dyDescent="0.3">
      <c r="A19" s="7">
        <v>15</v>
      </c>
      <c r="B19" s="2" t="s">
        <v>37</v>
      </c>
      <c r="C19" s="3" t="s">
        <v>38</v>
      </c>
      <c r="D19" s="3">
        <v>84099190</v>
      </c>
      <c r="E19" s="4">
        <v>90</v>
      </c>
      <c r="F19" s="5">
        <v>19.45</v>
      </c>
      <c r="G19" s="5">
        <f t="shared" si="0"/>
        <v>1750.5</v>
      </c>
    </row>
    <row r="20" spans="1:7" x14ac:dyDescent="0.3">
      <c r="A20" s="7">
        <v>16</v>
      </c>
      <c r="B20" s="2" t="s">
        <v>39</v>
      </c>
      <c r="C20" s="3" t="s">
        <v>40</v>
      </c>
      <c r="D20" s="3">
        <v>84099190</v>
      </c>
      <c r="E20" s="4">
        <v>130</v>
      </c>
      <c r="F20" s="5">
        <v>19.52</v>
      </c>
      <c r="G20" s="5">
        <f t="shared" si="0"/>
        <v>2537.6</v>
      </c>
    </row>
    <row r="21" spans="1:7" x14ac:dyDescent="0.3">
      <c r="A21" s="7">
        <v>17</v>
      </c>
      <c r="B21" s="2" t="s">
        <v>41</v>
      </c>
      <c r="C21" s="3" t="s">
        <v>42</v>
      </c>
      <c r="D21" s="3">
        <v>84099190</v>
      </c>
      <c r="E21" s="4">
        <v>150</v>
      </c>
      <c r="F21" s="5">
        <v>22.74</v>
      </c>
      <c r="G21" s="5">
        <f t="shared" si="0"/>
        <v>3410.9999999999995</v>
      </c>
    </row>
    <row r="22" spans="1:7" x14ac:dyDescent="0.3">
      <c r="A22" s="7">
        <v>18</v>
      </c>
      <c r="B22" s="2" t="s">
        <v>43</v>
      </c>
      <c r="C22" s="3" t="s">
        <v>44</v>
      </c>
      <c r="D22" s="3">
        <v>84099190</v>
      </c>
      <c r="E22" s="4">
        <v>42</v>
      </c>
      <c r="F22" s="8">
        <v>25.25</v>
      </c>
      <c r="G22" s="5">
        <f t="shared" si="0"/>
        <v>1060.5</v>
      </c>
    </row>
    <row r="23" spans="1:7" x14ac:dyDescent="0.3">
      <c r="A23" s="7">
        <v>19</v>
      </c>
      <c r="B23" s="2" t="s">
        <v>45</v>
      </c>
      <c r="C23" s="3" t="s">
        <v>46</v>
      </c>
      <c r="D23" s="3">
        <v>84099190</v>
      </c>
      <c r="E23" s="4">
        <v>48</v>
      </c>
      <c r="F23" s="8">
        <v>24.35</v>
      </c>
      <c r="G23" s="5">
        <f t="shared" si="0"/>
        <v>1168.8000000000002</v>
      </c>
    </row>
    <row r="24" spans="1:7" x14ac:dyDescent="0.3">
      <c r="A24" s="7">
        <v>20</v>
      </c>
      <c r="B24" s="2" t="s">
        <v>47</v>
      </c>
      <c r="C24" s="3" t="s">
        <v>48</v>
      </c>
      <c r="D24" s="3">
        <v>87141090</v>
      </c>
      <c r="E24" s="4">
        <v>500</v>
      </c>
      <c r="F24" s="5">
        <v>0.09</v>
      </c>
      <c r="G24" s="5">
        <f t="shared" si="0"/>
        <v>45</v>
      </c>
    </row>
    <row r="25" spans="1:7" x14ac:dyDescent="0.3">
      <c r="A25" s="7">
        <v>21</v>
      </c>
      <c r="B25" s="7">
        <v>39201719</v>
      </c>
      <c r="C25" s="3" t="s">
        <v>49</v>
      </c>
      <c r="D25" s="3">
        <v>40169390</v>
      </c>
      <c r="E25" s="4">
        <v>600</v>
      </c>
      <c r="F25" s="5">
        <v>0.28999999999999998</v>
      </c>
      <c r="G25" s="5">
        <f t="shared" si="0"/>
        <v>174</v>
      </c>
    </row>
    <row r="26" spans="1:7" x14ac:dyDescent="0.3">
      <c r="A26" s="7">
        <v>22</v>
      </c>
      <c r="B26" s="2" t="s">
        <v>50</v>
      </c>
      <c r="C26" s="3" t="s">
        <v>51</v>
      </c>
      <c r="D26" s="3">
        <v>84841000</v>
      </c>
      <c r="E26" s="4">
        <v>100</v>
      </c>
      <c r="F26" s="5">
        <v>0.49</v>
      </c>
      <c r="G26" s="5">
        <f t="shared" si="0"/>
        <v>49</v>
      </c>
    </row>
    <row r="27" spans="1:7" x14ac:dyDescent="0.3">
      <c r="A27" s="7">
        <v>23</v>
      </c>
      <c r="B27" s="2" t="s">
        <v>52</v>
      </c>
      <c r="C27" s="3" t="s">
        <v>53</v>
      </c>
      <c r="D27" s="3">
        <v>84841000</v>
      </c>
      <c r="E27" s="4">
        <v>80</v>
      </c>
      <c r="F27" s="5">
        <v>0.51</v>
      </c>
      <c r="G27" s="5">
        <f t="shared" si="0"/>
        <v>40.799999999999997</v>
      </c>
    </row>
    <row r="28" spans="1:7" x14ac:dyDescent="0.3">
      <c r="A28" s="7">
        <v>24</v>
      </c>
      <c r="B28" s="2" t="s">
        <v>54</v>
      </c>
      <c r="C28" s="3" t="s">
        <v>55</v>
      </c>
      <c r="D28" s="3">
        <v>87141090</v>
      </c>
      <c r="E28" s="4">
        <v>120</v>
      </c>
      <c r="F28" s="5">
        <v>0.61</v>
      </c>
      <c r="G28" s="5">
        <f t="shared" si="0"/>
        <v>73.2</v>
      </c>
    </row>
    <row r="29" spans="1:7" x14ac:dyDescent="0.3">
      <c r="A29" s="7">
        <v>25</v>
      </c>
      <c r="B29" s="2" t="s">
        <v>56</v>
      </c>
      <c r="C29" s="3" t="s">
        <v>57</v>
      </c>
      <c r="D29" s="3">
        <v>87141090</v>
      </c>
      <c r="E29" s="4">
        <v>120</v>
      </c>
      <c r="F29" s="5">
        <v>0.65</v>
      </c>
      <c r="G29" s="5">
        <f t="shared" si="0"/>
        <v>78</v>
      </c>
    </row>
    <row r="30" spans="1:7" x14ac:dyDescent="0.3">
      <c r="A30" s="7">
        <v>26</v>
      </c>
      <c r="B30" s="2" t="s">
        <v>58</v>
      </c>
      <c r="C30" s="3" t="s">
        <v>59</v>
      </c>
      <c r="D30" s="3">
        <v>84841000</v>
      </c>
      <c r="E30" s="4">
        <v>100</v>
      </c>
      <c r="F30" s="5">
        <v>0.56999999999999995</v>
      </c>
      <c r="G30" s="5">
        <f t="shared" si="0"/>
        <v>56.999999999999993</v>
      </c>
    </row>
    <row r="31" spans="1:7" x14ac:dyDescent="0.3">
      <c r="A31" s="7">
        <v>27</v>
      </c>
      <c r="B31" s="2" t="s">
        <v>60</v>
      </c>
      <c r="C31" s="3" t="s">
        <v>59</v>
      </c>
      <c r="D31" s="3">
        <v>84841000</v>
      </c>
      <c r="E31" s="4">
        <v>50</v>
      </c>
      <c r="F31" s="5">
        <v>0.82</v>
      </c>
      <c r="G31" s="5">
        <f t="shared" si="0"/>
        <v>41</v>
      </c>
    </row>
    <row r="32" spans="1:7" x14ac:dyDescent="0.3">
      <c r="A32" s="7">
        <v>28</v>
      </c>
      <c r="B32" s="2" t="s">
        <v>61</v>
      </c>
      <c r="C32" s="3" t="s">
        <v>62</v>
      </c>
      <c r="D32" s="3">
        <v>84099190</v>
      </c>
      <c r="E32" s="4">
        <v>100</v>
      </c>
      <c r="F32" s="5">
        <v>1.92</v>
      </c>
      <c r="G32" s="5">
        <f t="shared" si="0"/>
        <v>192</v>
      </c>
    </row>
    <row r="33" spans="1:7" x14ac:dyDescent="0.3">
      <c r="A33" s="7">
        <v>29</v>
      </c>
      <c r="B33" s="2" t="s">
        <v>63</v>
      </c>
      <c r="C33" s="3" t="s">
        <v>64</v>
      </c>
      <c r="D33" s="3">
        <v>87141090</v>
      </c>
      <c r="E33" s="4">
        <v>240</v>
      </c>
      <c r="F33" s="5">
        <v>0.9</v>
      </c>
      <c r="G33" s="5">
        <f t="shared" si="0"/>
        <v>216</v>
      </c>
    </row>
    <row r="34" spans="1:7" x14ac:dyDescent="0.3">
      <c r="A34" s="7">
        <v>30</v>
      </c>
      <c r="B34" s="2" t="s">
        <v>65</v>
      </c>
      <c r="C34" s="3" t="s">
        <v>66</v>
      </c>
      <c r="D34" s="3">
        <v>84099190</v>
      </c>
      <c r="E34" s="4">
        <v>60</v>
      </c>
      <c r="F34" s="5">
        <v>3.02</v>
      </c>
      <c r="G34" s="5">
        <f t="shared" si="0"/>
        <v>181.2</v>
      </c>
    </row>
    <row r="35" spans="1:7" x14ac:dyDescent="0.3">
      <c r="A35" s="7">
        <v>31</v>
      </c>
      <c r="B35" s="2" t="s">
        <v>67</v>
      </c>
      <c r="C35" s="3" t="s">
        <v>68</v>
      </c>
      <c r="D35" s="3">
        <v>87141090</v>
      </c>
      <c r="E35" s="4">
        <v>80</v>
      </c>
      <c r="F35" s="5">
        <v>3.3</v>
      </c>
      <c r="G35" s="5">
        <f t="shared" si="0"/>
        <v>264</v>
      </c>
    </row>
    <row r="36" spans="1:7" x14ac:dyDescent="0.3">
      <c r="A36" s="7">
        <v>32</v>
      </c>
      <c r="B36" s="2" t="s">
        <v>69</v>
      </c>
      <c r="C36" s="3" t="s">
        <v>70</v>
      </c>
      <c r="D36" s="3">
        <v>87141090</v>
      </c>
      <c r="E36" s="4">
        <v>80</v>
      </c>
      <c r="F36" s="5">
        <v>3.32</v>
      </c>
      <c r="G36" s="5">
        <f t="shared" si="0"/>
        <v>265.59999999999997</v>
      </c>
    </row>
    <row r="37" spans="1:7" x14ac:dyDescent="0.3">
      <c r="A37" s="7">
        <v>33</v>
      </c>
      <c r="B37" s="2" t="s">
        <v>71</v>
      </c>
      <c r="C37" s="3" t="s">
        <v>72</v>
      </c>
      <c r="D37" s="3">
        <v>73180000</v>
      </c>
      <c r="E37" s="4">
        <v>600</v>
      </c>
      <c r="F37" s="5">
        <v>0.03</v>
      </c>
      <c r="G37" s="5">
        <f t="shared" si="0"/>
        <v>18</v>
      </c>
    </row>
    <row r="38" spans="1:7" x14ac:dyDescent="0.3">
      <c r="A38" s="7">
        <v>34</v>
      </c>
      <c r="B38" s="2" t="s">
        <v>73</v>
      </c>
      <c r="C38" s="3" t="s">
        <v>74</v>
      </c>
      <c r="D38" s="3">
        <v>84219900</v>
      </c>
      <c r="E38" s="4">
        <v>150</v>
      </c>
      <c r="F38" s="5">
        <v>0</v>
      </c>
      <c r="G38" s="5">
        <f t="shared" si="0"/>
        <v>0</v>
      </c>
    </row>
    <row r="39" spans="1:7" x14ac:dyDescent="0.3">
      <c r="A39" s="7">
        <v>35</v>
      </c>
      <c r="B39" s="2" t="s">
        <v>75</v>
      </c>
      <c r="C39" s="3" t="s">
        <v>74</v>
      </c>
      <c r="D39" s="3">
        <v>84219900</v>
      </c>
      <c r="E39" s="4">
        <v>100</v>
      </c>
      <c r="F39" s="5">
        <v>0.61</v>
      </c>
      <c r="G39" s="5">
        <f t="shared" si="0"/>
        <v>61</v>
      </c>
    </row>
    <row r="40" spans="1:7" x14ac:dyDescent="0.3">
      <c r="A40" s="7">
        <v>36</v>
      </c>
      <c r="B40" s="2" t="s">
        <v>76</v>
      </c>
      <c r="C40" s="3" t="s">
        <v>77</v>
      </c>
      <c r="D40" s="3">
        <v>87141090</v>
      </c>
      <c r="E40" s="4">
        <v>40</v>
      </c>
      <c r="F40" s="5">
        <v>0.45</v>
      </c>
      <c r="G40" s="5">
        <f t="shared" si="0"/>
        <v>18</v>
      </c>
    </row>
    <row r="41" spans="1:7" x14ac:dyDescent="0.3">
      <c r="A41" s="7">
        <v>37</v>
      </c>
      <c r="B41" s="2" t="s">
        <v>78</v>
      </c>
      <c r="C41" s="3" t="s">
        <v>79</v>
      </c>
      <c r="D41" s="3">
        <v>87141090</v>
      </c>
      <c r="E41" s="4">
        <v>30</v>
      </c>
      <c r="F41" s="5">
        <v>0.69</v>
      </c>
      <c r="G41" s="5">
        <f t="shared" si="0"/>
        <v>20.7</v>
      </c>
    </row>
    <row r="42" spans="1:7" x14ac:dyDescent="0.3">
      <c r="A42" s="7">
        <v>38</v>
      </c>
      <c r="B42" s="2" t="s">
        <v>80</v>
      </c>
      <c r="C42" s="3" t="s">
        <v>81</v>
      </c>
      <c r="D42" s="3">
        <v>87141090</v>
      </c>
      <c r="E42" s="4">
        <v>30</v>
      </c>
      <c r="F42" s="5">
        <v>0.9</v>
      </c>
      <c r="G42" s="5">
        <f t="shared" si="0"/>
        <v>27</v>
      </c>
    </row>
    <row r="43" spans="1:7" x14ac:dyDescent="0.3">
      <c r="A43" s="7">
        <v>39</v>
      </c>
      <c r="B43" s="2" t="s">
        <v>82</v>
      </c>
      <c r="C43" s="3" t="s">
        <v>83</v>
      </c>
      <c r="D43" s="3">
        <v>87141090</v>
      </c>
      <c r="E43" s="4">
        <v>60</v>
      </c>
      <c r="F43" s="5">
        <v>1.92</v>
      </c>
      <c r="G43" s="5">
        <f t="shared" si="0"/>
        <v>115.19999999999999</v>
      </c>
    </row>
    <row r="44" spans="1:7" x14ac:dyDescent="0.3">
      <c r="A44" s="7">
        <v>40</v>
      </c>
      <c r="B44" s="2" t="s">
        <v>84</v>
      </c>
      <c r="C44" s="3" t="s">
        <v>85</v>
      </c>
      <c r="D44" s="3">
        <v>84099190</v>
      </c>
      <c r="E44" s="4">
        <v>20</v>
      </c>
      <c r="F44" s="5">
        <v>1.43</v>
      </c>
      <c r="G44" s="5">
        <f t="shared" si="0"/>
        <v>28.599999999999998</v>
      </c>
    </row>
    <row r="45" spans="1:7" x14ac:dyDescent="0.3">
      <c r="A45" s="7">
        <v>41</v>
      </c>
      <c r="B45" s="2" t="s">
        <v>86</v>
      </c>
      <c r="C45" s="3" t="s">
        <v>87</v>
      </c>
      <c r="D45" s="3">
        <v>87141090</v>
      </c>
      <c r="E45" s="4">
        <v>200</v>
      </c>
      <c r="F45" s="5">
        <v>2.8</v>
      </c>
      <c r="G45" s="5">
        <f t="shared" si="0"/>
        <v>560</v>
      </c>
    </row>
    <row r="46" spans="1:7" x14ac:dyDescent="0.3">
      <c r="A46" s="7">
        <v>42</v>
      </c>
      <c r="B46" s="2" t="s">
        <v>88</v>
      </c>
      <c r="C46" s="3" t="s">
        <v>89</v>
      </c>
      <c r="D46" s="3">
        <v>87141090</v>
      </c>
      <c r="E46" s="4">
        <v>60</v>
      </c>
      <c r="F46" s="5">
        <v>2.99</v>
      </c>
      <c r="G46" s="5">
        <f t="shared" si="0"/>
        <v>179.4</v>
      </c>
    </row>
    <row r="47" spans="1:7" x14ac:dyDescent="0.3">
      <c r="A47" s="7">
        <v>43</v>
      </c>
      <c r="B47" s="2" t="s">
        <v>90</v>
      </c>
      <c r="C47" s="3" t="s">
        <v>91</v>
      </c>
      <c r="D47" s="3">
        <v>87141090</v>
      </c>
      <c r="E47" s="4">
        <v>20</v>
      </c>
      <c r="F47" s="5">
        <v>2.0699999999999998</v>
      </c>
      <c r="G47" s="5">
        <f t="shared" si="0"/>
        <v>41.4</v>
      </c>
    </row>
    <row r="48" spans="1:7" x14ac:dyDescent="0.3">
      <c r="A48" s="7">
        <v>44</v>
      </c>
      <c r="B48" s="2" t="s">
        <v>92</v>
      </c>
      <c r="C48" s="3" t="s">
        <v>93</v>
      </c>
      <c r="D48" s="3">
        <v>87141090</v>
      </c>
      <c r="E48" s="4">
        <v>72</v>
      </c>
      <c r="F48" s="5">
        <v>3.02</v>
      </c>
      <c r="G48" s="5">
        <f t="shared" si="0"/>
        <v>217.44</v>
      </c>
    </row>
    <row r="49" spans="1:7" x14ac:dyDescent="0.3">
      <c r="A49" s="7">
        <v>45</v>
      </c>
      <c r="B49" s="2" t="s">
        <v>94</v>
      </c>
      <c r="C49" s="3" t="s">
        <v>95</v>
      </c>
      <c r="D49" s="3">
        <v>87141090</v>
      </c>
      <c r="E49" s="4">
        <v>30</v>
      </c>
      <c r="F49" s="5">
        <v>3.24</v>
      </c>
      <c r="G49" s="5">
        <f t="shared" si="0"/>
        <v>97.2</v>
      </c>
    </row>
    <row r="50" spans="1:7" x14ac:dyDescent="0.3">
      <c r="A50" s="7">
        <v>46</v>
      </c>
      <c r="B50" s="2" t="s">
        <v>96</v>
      </c>
      <c r="C50" s="3" t="s">
        <v>97</v>
      </c>
      <c r="D50" s="3">
        <v>87141090</v>
      </c>
      <c r="E50" s="4">
        <v>30</v>
      </c>
      <c r="F50" s="5">
        <v>7.56</v>
      </c>
      <c r="G50" s="5">
        <f t="shared" si="0"/>
        <v>226.79999999999998</v>
      </c>
    </row>
    <row r="51" spans="1:7" x14ac:dyDescent="0.3">
      <c r="A51" s="7">
        <v>47</v>
      </c>
      <c r="B51" s="2" t="s">
        <v>98</v>
      </c>
      <c r="C51" s="3" t="s">
        <v>99</v>
      </c>
      <c r="D51" s="3">
        <v>87141090</v>
      </c>
      <c r="E51" s="4">
        <v>170</v>
      </c>
      <c r="F51" s="5">
        <v>11.98</v>
      </c>
      <c r="G51" s="5">
        <f t="shared" si="0"/>
        <v>2036.6000000000001</v>
      </c>
    </row>
    <row r="52" spans="1:7" x14ac:dyDescent="0.3">
      <c r="A52" s="7">
        <v>48</v>
      </c>
      <c r="B52" s="2" t="s">
        <v>100</v>
      </c>
      <c r="C52" s="3" t="s">
        <v>101</v>
      </c>
      <c r="D52" s="3">
        <v>87141090</v>
      </c>
      <c r="E52" s="4">
        <v>120</v>
      </c>
      <c r="F52" s="5">
        <v>16.18</v>
      </c>
      <c r="G52" s="5">
        <f t="shared" si="0"/>
        <v>1941.6</v>
      </c>
    </row>
    <row r="53" spans="1:7" x14ac:dyDescent="0.3">
      <c r="A53" s="7">
        <v>49</v>
      </c>
      <c r="B53" s="2" t="s">
        <v>102</v>
      </c>
      <c r="C53" s="3" t="s">
        <v>103</v>
      </c>
      <c r="D53" s="3">
        <v>84219900</v>
      </c>
      <c r="E53" s="4">
        <v>400</v>
      </c>
      <c r="F53" s="5">
        <v>0.26</v>
      </c>
      <c r="G53" s="5">
        <f t="shared" si="0"/>
        <v>104</v>
      </c>
    </row>
    <row r="54" spans="1:7" x14ac:dyDescent="0.3">
      <c r="A54" s="7">
        <v>50</v>
      </c>
      <c r="B54" s="2" t="s">
        <v>104</v>
      </c>
      <c r="C54" s="3" t="s">
        <v>105</v>
      </c>
      <c r="D54" s="3">
        <v>84219900</v>
      </c>
      <c r="E54" s="4">
        <v>1000</v>
      </c>
      <c r="F54" s="8">
        <v>0.41</v>
      </c>
      <c r="G54" s="5">
        <f t="shared" si="0"/>
        <v>410</v>
      </c>
    </row>
    <row r="55" spans="1:7" x14ac:dyDescent="0.3">
      <c r="A55" s="7">
        <v>51</v>
      </c>
      <c r="B55" s="2" t="s">
        <v>106</v>
      </c>
      <c r="C55" s="3" t="s">
        <v>107</v>
      </c>
      <c r="D55" s="3">
        <v>83012000</v>
      </c>
      <c r="E55" s="4">
        <v>20</v>
      </c>
      <c r="F55" s="5">
        <v>0.35</v>
      </c>
      <c r="G55" s="5">
        <f t="shared" si="0"/>
        <v>7</v>
      </c>
    </row>
    <row r="56" spans="1:7" x14ac:dyDescent="0.3">
      <c r="A56" s="7">
        <v>52</v>
      </c>
      <c r="B56" s="2" t="s">
        <v>108</v>
      </c>
      <c r="C56" s="3" t="s">
        <v>109</v>
      </c>
      <c r="D56" s="3">
        <v>84219900</v>
      </c>
      <c r="E56" s="4">
        <v>340</v>
      </c>
      <c r="F56" s="5">
        <v>0.65</v>
      </c>
      <c r="G56" s="5">
        <f t="shared" si="0"/>
        <v>221</v>
      </c>
    </row>
    <row r="57" spans="1:7" x14ac:dyDescent="0.3">
      <c r="A57" s="7">
        <v>53</v>
      </c>
      <c r="B57" s="2" t="s">
        <v>110</v>
      </c>
      <c r="C57" s="3" t="s">
        <v>111</v>
      </c>
      <c r="D57" s="3">
        <v>84219900</v>
      </c>
      <c r="E57" s="4">
        <v>420</v>
      </c>
      <c r="F57" s="5">
        <v>0.65</v>
      </c>
      <c r="G57" s="5">
        <f t="shared" si="0"/>
        <v>273</v>
      </c>
    </row>
    <row r="58" spans="1:7" x14ac:dyDescent="0.3">
      <c r="A58" s="7">
        <v>54</v>
      </c>
      <c r="B58" s="2" t="s">
        <v>112</v>
      </c>
      <c r="C58" s="3" t="s">
        <v>113</v>
      </c>
      <c r="D58" s="3">
        <v>87141090</v>
      </c>
      <c r="E58" s="4">
        <v>80</v>
      </c>
      <c r="F58" s="5">
        <v>0.69</v>
      </c>
      <c r="G58" s="5">
        <f t="shared" si="0"/>
        <v>55.199999999999996</v>
      </c>
    </row>
    <row r="59" spans="1:7" x14ac:dyDescent="0.3">
      <c r="A59" s="7">
        <v>55</v>
      </c>
      <c r="B59" s="2" t="s">
        <v>114</v>
      </c>
      <c r="C59" s="3" t="s">
        <v>115</v>
      </c>
      <c r="D59" s="3">
        <v>87141090</v>
      </c>
      <c r="E59" s="4">
        <v>300</v>
      </c>
      <c r="F59" s="5">
        <v>1.22</v>
      </c>
      <c r="G59" s="5">
        <f t="shared" si="0"/>
        <v>366</v>
      </c>
    </row>
    <row r="60" spans="1:7" x14ac:dyDescent="0.3">
      <c r="A60" s="7">
        <v>56</v>
      </c>
      <c r="B60" s="2" t="s">
        <v>116</v>
      </c>
      <c r="C60" s="3" t="s">
        <v>117</v>
      </c>
      <c r="D60" s="3">
        <v>87141090</v>
      </c>
      <c r="E60" s="4">
        <v>120</v>
      </c>
      <c r="F60" s="5">
        <v>0.94</v>
      </c>
      <c r="G60" s="5">
        <f t="shared" si="0"/>
        <v>112.8</v>
      </c>
    </row>
    <row r="61" spans="1:7" x14ac:dyDescent="0.3">
      <c r="A61" s="7">
        <v>57</v>
      </c>
      <c r="B61" s="2" t="s">
        <v>118</v>
      </c>
      <c r="C61" s="3" t="s">
        <v>119</v>
      </c>
      <c r="D61" s="3">
        <v>87141090</v>
      </c>
      <c r="E61" s="4">
        <v>300</v>
      </c>
      <c r="F61" s="5">
        <v>1.02</v>
      </c>
      <c r="G61" s="5">
        <f t="shared" si="0"/>
        <v>306</v>
      </c>
    </row>
    <row r="62" spans="1:7" x14ac:dyDescent="0.3">
      <c r="A62" s="7">
        <v>58</v>
      </c>
      <c r="B62" s="2" t="s">
        <v>120</v>
      </c>
      <c r="C62" s="3" t="s">
        <v>121</v>
      </c>
      <c r="D62" s="3">
        <v>87141090</v>
      </c>
      <c r="E62" s="4">
        <v>120</v>
      </c>
      <c r="F62" s="5">
        <v>0.77</v>
      </c>
      <c r="G62" s="5">
        <f t="shared" si="0"/>
        <v>92.4</v>
      </c>
    </row>
    <row r="63" spans="1:7" x14ac:dyDescent="0.3">
      <c r="A63" s="7">
        <v>59</v>
      </c>
      <c r="B63" s="2" t="s">
        <v>122</v>
      </c>
      <c r="C63" s="3" t="s">
        <v>123</v>
      </c>
      <c r="D63" s="3">
        <v>87141090</v>
      </c>
      <c r="E63" s="4">
        <v>70</v>
      </c>
      <c r="F63" s="5">
        <v>0.97</v>
      </c>
      <c r="G63" s="5">
        <f t="shared" si="0"/>
        <v>67.899999999999991</v>
      </c>
    </row>
    <row r="64" spans="1:7" x14ac:dyDescent="0.3">
      <c r="A64" s="7">
        <v>60</v>
      </c>
      <c r="B64" s="2" t="s">
        <v>124</v>
      </c>
      <c r="C64" s="3" t="s">
        <v>125</v>
      </c>
      <c r="D64" s="3">
        <v>87141090</v>
      </c>
      <c r="E64" s="4">
        <v>120</v>
      </c>
      <c r="F64" s="5">
        <v>1.18</v>
      </c>
      <c r="G64" s="5">
        <f t="shared" si="0"/>
        <v>141.6</v>
      </c>
    </row>
    <row r="65" spans="1:7" x14ac:dyDescent="0.3">
      <c r="A65" s="7">
        <v>61</v>
      </c>
      <c r="B65" s="2" t="s">
        <v>126</v>
      </c>
      <c r="C65" s="3" t="s">
        <v>127</v>
      </c>
      <c r="D65" s="3">
        <v>87141090</v>
      </c>
      <c r="E65" s="4">
        <v>120</v>
      </c>
      <c r="F65" s="5">
        <v>0</v>
      </c>
      <c r="G65" s="5">
        <f t="shared" si="0"/>
        <v>0</v>
      </c>
    </row>
    <row r="66" spans="1:7" x14ac:dyDescent="0.3">
      <c r="A66" s="7">
        <v>62</v>
      </c>
      <c r="B66" s="2" t="s">
        <v>128</v>
      </c>
      <c r="C66" s="3" t="s">
        <v>129</v>
      </c>
      <c r="D66" s="3">
        <v>87141090</v>
      </c>
      <c r="E66" s="4">
        <v>30</v>
      </c>
      <c r="F66" s="5">
        <v>1.1499999999999999</v>
      </c>
      <c r="G66" s="5">
        <f t="shared" si="0"/>
        <v>34.5</v>
      </c>
    </row>
    <row r="67" spans="1:7" x14ac:dyDescent="0.3">
      <c r="A67" s="7">
        <v>63</v>
      </c>
      <c r="B67" s="2" t="s">
        <v>130</v>
      </c>
      <c r="C67" s="3" t="s">
        <v>131</v>
      </c>
      <c r="D67" s="3">
        <v>87141090</v>
      </c>
      <c r="E67" s="4">
        <v>120</v>
      </c>
      <c r="F67" s="5">
        <v>1.0900000000000001</v>
      </c>
      <c r="G67" s="5">
        <f t="shared" si="0"/>
        <v>130.80000000000001</v>
      </c>
    </row>
    <row r="68" spans="1:7" x14ac:dyDescent="0.3">
      <c r="A68" s="7">
        <v>64</v>
      </c>
      <c r="B68" s="2" t="s">
        <v>132</v>
      </c>
      <c r="C68" s="3" t="s">
        <v>133</v>
      </c>
      <c r="D68" s="3">
        <v>87141090</v>
      </c>
      <c r="E68" s="4">
        <v>120</v>
      </c>
      <c r="F68" s="5">
        <v>0</v>
      </c>
      <c r="G68" s="5">
        <f t="shared" si="0"/>
        <v>0</v>
      </c>
    </row>
    <row r="69" spans="1:7" x14ac:dyDescent="0.3">
      <c r="A69" s="7">
        <v>65</v>
      </c>
      <c r="B69" s="2" t="s">
        <v>134</v>
      </c>
      <c r="C69" s="3" t="s">
        <v>135</v>
      </c>
      <c r="D69" s="3">
        <v>87141090</v>
      </c>
      <c r="E69" s="4">
        <v>120</v>
      </c>
      <c r="F69" s="5">
        <v>1.1499999999999999</v>
      </c>
      <c r="G69" s="5">
        <f t="shared" si="0"/>
        <v>138</v>
      </c>
    </row>
    <row r="70" spans="1:7" x14ac:dyDescent="0.3">
      <c r="A70" s="7">
        <v>66</v>
      </c>
      <c r="B70" s="2" t="s">
        <v>136</v>
      </c>
      <c r="C70" s="3" t="s">
        <v>137</v>
      </c>
      <c r="D70" s="3">
        <v>87141090</v>
      </c>
      <c r="E70" s="4">
        <v>150</v>
      </c>
      <c r="F70" s="5">
        <v>1.04</v>
      </c>
      <c r="G70" s="5">
        <f t="shared" ref="G70:G133" si="1">F70*E70</f>
        <v>156</v>
      </c>
    </row>
    <row r="71" spans="1:7" x14ac:dyDescent="0.3">
      <c r="A71" s="7">
        <v>67</v>
      </c>
      <c r="B71" s="2" t="s">
        <v>138</v>
      </c>
      <c r="C71" s="3" t="s">
        <v>123</v>
      </c>
      <c r="D71" s="3">
        <v>87141090</v>
      </c>
      <c r="E71" s="4">
        <v>70</v>
      </c>
      <c r="F71" s="5">
        <v>1.1299999999999999</v>
      </c>
      <c r="G71" s="5">
        <f t="shared" si="1"/>
        <v>79.099999999999994</v>
      </c>
    </row>
    <row r="72" spans="1:7" x14ac:dyDescent="0.3">
      <c r="A72" s="7">
        <v>68</v>
      </c>
      <c r="B72" s="2" t="s">
        <v>139</v>
      </c>
      <c r="C72" s="3" t="s">
        <v>140</v>
      </c>
      <c r="D72" s="3">
        <v>87141090</v>
      </c>
      <c r="E72" s="4">
        <v>120</v>
      </c>
      <c r="F72" s="5">
        <v>1.41</v>
      </c>
      <c r="G72" s="5">
        <f t="shared" si="1"/>
        <v>169.2</v>
      </c>
    </row>
    <row r="73" spans="1:7" x14ac:dyDescent="0.3">
      <c r="A73" s="7">
        <v>69</v>
      </c>
      <c r="B73" s="2" t="s">
        <v>141</v>
      </c>
      <c r="C73" s="3" t="s">
        <v>142</v>
      </c>
      <c r="D73" s="3">
        <v>87141090</v>
      </c>
      <c r="E73" s="4">
        <v>120</v>
      </c>
      <c r="F73" s="5">
        <v>1.4</v>
      </c>
      <c r="G73" s="5">
        <f t="shared" si="1"/>
        <v>168</v>
      </c>
    </row>
    <row r="74" spans="1:7" x14ac:dyDescent="0.3">
      <c r="A74" s="7">
        <v>70</v>
      </c>
      <c r="B74" s="2" t="s">
        <v>143</v>
      </c>
      <c r="C74" s="3" t="s">
        <v>144</v>
      </c>
      <c r="D74" s="3">
        <v>87141090</v>
      </c>
      <c r="E74" s="4">
        <v>80</v>
      </c>
      <c r="F74" s="5">
        <v>1.39</v>
      </c>
      <c r="G74" s="5">
        <f t="shared" si="1"/>
        <v>111.19999999999999</v>
      </c>
    </row>
    <row r="75" spans="1:7" x14ac:dyDescent="0.3">
      <c r="A75" s="7">
        <v>71</v>
      </c>
      <c r="B75" s="9" t="s">
        <v>145</v>
      </c>
      <c r="C75" s="10" t="s">
        <v>146</v>
      </c>
      <c r="D75" s="3">
        <v>87141090</v>
      </c>
      <c r="E75" s="4">
        <v>100</v>
      </c>
      <c r="F75" s="5">
        <v>1.3</v>
      </c>
      <c r="G75" s="5">
        <f t="shared" si="1"/>
        <v>130</v>
      </c>
    </row>
    <row r="76" spans="1:7" x14ac:dyDescent="0.3">
      <c r="A76" s="7">
        <v>72</v>
      </c>
      <c r="B76" s="2" t="s">
        <v>145</v>
      </c>
      <c r="C76" s="3" t="s">
        <v>147</v>
      </c>
      <c r="D76" s="3">
        <v>87141090</v>
      </c>
      <c r="E76" s="4">
        <v>80</v>
      </c>
      <c r="F76" s="5">
        <v>1.3</v>
      </c>
      <c r="G76" s="5">
        <f t="shared" si="1"/>
        <v>104</v>
      </c>
    </row>
    <row r="77" spans="1:7" x14ac:dyDescent="0.3">
      <c r="A77" s="7">
        <v>73</v>
      </c>
      <c r="B77" s="2" t="s">
        <v>148</v>
      </c>
      <c r="C77" s="3" t="s">
        <v>149</v>
      </c>
      <c r="D77" s="3">
        <v>87141090</v>
      </c>
      <c r="E77" s="4">
        <v>120</v>
      </c>
      <c r="F77" s="5">
        <v>0</v>
      </c>
      <c r="G77" s="5">
        <f t="shared" si="1"/>
        <v>0</v>
      </c>
    </row>
    <row r="78" spans="1:7" x14ac:dyDescent="0.3">
      <c r="A78" s="7">
        <v>74</v>
      </c>
      <c r="B78" s="2" t="s">
        <v>150</v>
      </c>
      <c r="C78" s="3" t="s">
        <v>151</v>
      </c>
      <c r="D78" s="3">
        <v>87141090</v>
      </c>
      <c r="E78" s="4">
        <v>120</v>
      </c>
      <c r="F78" s="5">
        <v>1.51</v>
      </c>
      <c r="G78" s="5">
        <f t="shared" si="1"/>
        <v>181.2</v>
      </c>
    </row>
    <row r="79" spans="1:7" x14ac:dyDescent="0.3">
      <c r="A79" s="7">
        <v>75</v>
      </c>
      <c r="B79" s="2" t="s">
        <v>152</v>
      </c>
      <c r="C79" s="3" t="s">
        <v>153</v>
      </c>
      <c r="D79" s="3">
        <v>87141090</v>
      </c>
      <c r="E79" s="4">
        <v>20</v>
      </c>
      <c r="F79" s="5">
        <v>1.41</v>
      </c>
      <c r="G79" s="5">
        <f t="shared" si="1"/>
        <v>28.2</v>
      </c>
    </row>
    <row r="80" spans="1:7" x14ac:dyDescent="0.3">
      <c r="A80" s="7">
        <v>76</v>
      </c>
      <c r="B80" s="2" t="s">
        <v>154</v>
      </c>
      <c r="C80" s="3" t="s">
        <v>155</v>
      </c>
      <c r="D80" s="3">
        <v>87141090</v>
      </c>
      <c r="E80" s="4">
        <v>60</v>
      </c>
      <c r="F80" s="5">
        <v>3.1</v>
      </c>
      <c r="G80" s="5">
        <f t="shared" si="1"/>
        <v>186</v>
      </c>
    </row>
    <row r="81" spans="1:7" x14ac:dyDescent="0.3">
      <c r="A81" s="7">
        <v>77</v>
      </c>
      <c r="B81" s="2" t="s">
        <v>156</v>
      </c>
      <c r="C81" s="3" t="s">
        <v>157</v>
      </c>
      <c r="D81" s="3">
        <v>87141090</v>
      </c>
      <c r="E81" s="4">
        <v>180</v>
      </c>
      <c r="F81" s="5">
        <v>0.59</v>
      </c>
      <c r="G81" s="5">
        <f t="shared" si="1"/>
        <v>106.19999999999999</v>
      </c>
    </row>
    <row r="82" spans="1:7" x14ac:dyDescent="0.3">
      <c r="A82" s="7">
        <v>78</v>
      </c>
      <c r="B82" s="2" t="s">
        <v>158</v>
      </c>
      <c r="C82" s="3" t="s">
        <v>159</v>
      </c>
      <c r="D82" s="3">
        <v>87141090</v>
      </c>
      <c r="E82" s="4">
        <v>200</v>
      </c>
      <c r="F82" s="5">
        <v>1.1200000000000001</v>
      </c>
      <c r="G82" s="5">
        <f t="shared" si="1"/>
        <v>224.00000000000003</v>
      </c>
    </row>
    <row r="83" spans="1:7" x14ac:dyDescent="0.3">
      <c r="A83" s="7">
        <v>79</v>
      </c>
      <c r="B83" s="2" t="s">
        <v>160</v>
      </c>
      <c r="C83" s="3" t="s">
        <v>161</v>
      </c>
      <c r="D83" s="3">
        <v>87141090</v>
      </c>
      <c r="E83" s="4">
        <v>120</v>
      </c>
      <c r="F83" s="5">
        <v>1.32</v>
      </c>
      <c r="G83" s="5">
        <f t="shared" si="1"/>
        <v>158.4</v>
      </c>
    </row>
    <row r="84" spans="1:7" x14ac:dyDescent="0.3">
      <c r="A84" s="7">
        <v>80</v>
      </c>
      <c r="B84" s="2" t="s">
        <v>162</v>
      </c>
      <c r="C84" s="3" t="s">
        <v>163</v>
      </c>
      <c r="D84" s="3">
        <v>87141090</v>
      </c>
      <c r="E84" s="4">
        <v>30</v>
      </c>
      <c r="F84" s="5">
        <v>1.82</v>
      </c>
      <c r="G84" s="5">
        <f t="shared" si="1"/>
        <v>54.6</v>
      </c>
    </row>
    <row r="85" spans="1:7" x14ac:dyDescent="0.3">
      <c r="A85" s="7">
        <v>81</v>
      </c>
      <c r="B85" s="2" t="s">
        <v>164</v>
      </c>
      <c r="C85" s="3" t="s">
        <v>165</v>
      </c>
      <c r="D85" s="3">
        <v>85114000</v>
      </c>
      <c r="E85" s="4">
        <v>12</v>
      </c>
      <c r="F85" s="5">
        <v>3.33</v>
      </c>
      <c r="G85" s="5">
        <f t="shared" si="1"/>
        <v>39.96</v>
      </c>
    </row>
    <row r="86" spans="1:7" x14ac:dyDescent="0.3">
      <c r="A86" s="7">
        <v>82</v>
      </c>
      <c r="B86" s="2" t="s">
        <v>166</v>
      </c>
      <c r="C86" s="3" t="s">
        <v>167</v>
      </c>
      <c r="D86" s="3">
        <v>87141090</v>
      </c>
      <c r="E86" s="4">
        <v>30</v>
      </c>
      <c r="F86" s="5">
        <v>5.75</v>
      </c>
      <c r="G86" s="5">
        <f t="shared" si="1"/>
        <v>172.5</v>
      </c>
    </row>
    <row r="87" spans="1:7" x14ac:dyDescent="0.3">
      <c r="A87" s="7">
        <v>83</v>
      </c>
      <c r="B87" s="2" t="s">
        <v>168</v>
      </c>
      <c r="C87" s="3" t="s">
        <v>169</v>
      </c>
      <c r="D87" s="3">
        <v>87141090</v>
      </c>
      <c r="E87" s="4">
        <v>24</v>
      </c>
      <c r="F87" s="5">
        <v>8.5500000000000007</v>
      </c>
      <c r="G87" s="5">
        <f t="shared" si="1"/>
        <v>205.20000000000002</v>
      </c>
    </row>
    <row r="88" spans="1:7" x14ac:dyDescent="0.3">
      <c r="A88" s="7">
        <v>84</v>
      </c>
      <c r="B88" s="2" t="s">
        <v>170</v>
      </c>
      <c r="C88" s="3" t="s">
        <v>171</v>
      </c>
      <c r="D88" s="3">
        <v>87141090</v>
      </c>
      <c r="E88" s="4">
        <v>50</v>
      </c>
      <c r="F88" s="5">
        <v>8.92</v>
      </c>
      <c r="G88" s="5">
        <f t="shared" si="1"/>
        <v>446</v>
      </c>
    </row>
    <row r="89" spans="1:7" x14ac:dyDescent="0.3">
      <c r="A89" s="7">
        <v>85</v>
      </c>
      <c r="B89" s="2" t="s">
        <v>172</v>
      </c>
      <c r="C89" s="3" t="s">
        <v>173</v>
      </c>
      <c r="D89" s="3">
        <v>87141090</v>
      </c>
      <c r="E89" s="4">
        <v>12</v>
      </c>
      <c r="F89" s="5">
        <v>9.94</v>
      </c>
      <c r="G89" s="5">
        <f t="shared" si="1"/>
        <v>119.28</v>
      </c>
    </row>
    <row r="90" spans="1:7" x14ac:dyDescent="0.3">
      <c r="A90" s="7">
        <v>86</v>
      </c>
      <c r="B90" s="2" t="s">
        <v>174</v>
      </c>
      <c r="C90" s="3" t="s">
        <v>175</v>
      </c>
      <c r="D90" s="3">
        <v>87141090</v>
      </c>
      <c r="E90" s="4">
        <v>72</v>
      </c>
      <c r="F90" s="5">
        <v>1.1599999999999999</v>
      </c>
      <c r="G90" s="5">
        <f t="shared" si="1"/>
        <v>83.52</v>
      </c>
    </row>
    <row r="91" spans="1:7" x14ac:dyDescent="0.3">
      <c r="A91" s="7">
        <v>87</v>
      </c>
      <c r="B91" s="2" t="s">
        <v>176</v>
      </c>
      <c r="C91" s="3" t="s">
        <v>177</v>
      </c>
      <c r="D91" s="3">
        <v>85365090</v>
      </c>
      <c r="E91" s="4">
        <v>24</v>
      </c>
      <c r="F91" s="5">
        <v>2.08</v>
      </c>
      <c r="G91" s="5">
        <f t="shared" si="1"/>
        <v>49.92</v>
      </c>
    </row>
    <row r="92" spans="1:7" x14ac:dyDescent="0.3">
      <c r="A92" s="7">
        <v>88</v>
      </c>
      <c r="B92" s="2" t="s">
        <v>178</v>
      </c>
      <c r="C92" s="3" t="s">
        <v>179</v>
      </c>
      <c r="D92" s="3">
        <v>87141090</v>
      </c>
      <c r="E92" s="4">
        <v>250</v>
      </c>
      <c r="F92" s="5">
        <v>2.27</v>
      </c>
      <c r="G92" s="5">
        <f t="shared" si="1"/>
        <v>567.5</v>
      </c>
    </row>
    <row r="93" spans="1:7" x14ac:dyDescent="0.3">
      <c r="A93" s="7">
        <v>89</v>
      </c>
      <c r="B93" s="2" t="s">
        <v>180</v>
      </c>
      <c r="C93" s="3" t="s">
        <v>181</v>
      </c>
      <c r="D93" s="3">
        <v>87141090</v>
      </c>
      <c r="E93" s="4">
        <v>40</v>
      </c>
      <c r="F93" s="5">
        <v>1.52</v>
      </c>
      <c r="G93" s="5">
        <f t="shared" si="1"/>
        <v>60.8</v>
      </c>
    </row>
    <row r="94" spans="1:7" x14ac:dyDescent="0.3">
      <c r="A94" s="7">
        <v>90</v>
      </c>
      <c r="B94" s="2" t="s">
        <v>182</v>
      </c>
      <c r="C94" s="3" t="s">
        <v>183</v>
      </c>
      <c r="D94" s="3">
        <v>87141090</v>
      </c>
      <c r="E94" s="4">
        <v>20</v>
      </c>
      <c r="F94" s="5">
        <v>2.58</v>
      </c>
      <c r="G94" s="5">
        <f t="shared" si="1"/>
        <v>51.6</v>
      </c>
    </row>
    <row r="95" spans="1:7" x14ac:dyDescent="0.3">
      <c r="A95" s="7">
        <v>91</v>
      </c>
      <c r="B95" s="2" t="s">
        <v>184</v>
      </c>
      <c r="C95" s="3" t="s">
        <v>185</v>
      </c>
      <c r="D95" s="3">
        <v>87141090</v>
      </c>
      <c r="E95" s="4">
        <v>60</v>
      </c>
      <c r="F95" s="5">
        <v>2.77</v>
      </c>
      <c r="G95" s="5">
        <f t="shared" si="1"/>
        <v>166.2</v>
      </c>
    </row>
    <row r="96" spans="1:7" x14ac:dyDescent="0.3">
      <c r="A96" s="7">
        <v>92</v>
      </c>
      <c r="B96" s="2" t="s">
        <v>186</v>
      </c>
      <c r="C96" s="3" t="s">
        <v>187</v>
      </c>
      <c r="D96" s="3">
        <v>85365090</v>
      </c>
      <c r="E96" s="4">
        <v>40</v>
      </c>
      <c r="F96" s="5">
        <v>3.16</v>
      </c>
      <c r="G96" s="5">
        <f t="shared" si="1"/>
        <v>126.4</v>
      </c>
    </row>
    <row r="97" spans="1:7" x14ac:dyDescent="0.3">
      <c r="A97" s="7">
        <v>93</v>
      </c>
      <c r="B97" s="2" t="s">
        <v>188</v>
      </c>
      <c r="C97" s="3" t="s">
        <v>189</v>
      </c>
      <c r="D97" s="3">
        <v>87141090</v>
      </c>
      <c r="E97" s="4">
        <v>40</v>
      </c>
      <c r="F97" s="5">
        <v>4.6100000000000003</v>
      </c>
      <c r="G97" s="5">
        <f t="shared" si="1"/>
        <v>184.4</v>
      </c>
    </row>
    <row r="98" spans="1:7" x14ac:dyDescent="0.3">
      <c r="A98" s="7">
        <v>94</v>
      </c>
      <c r="B98" s="2" t="s">
        <v>190</v>
      </c>
      <c r="C98" s="3" t="s">
        <v>191</v>
      </c>
      <c r="D98" s="3">
        <v>85365090</v>
      </c>
      <c r="E98" s="4">
        <v>10</v>
      </c>
      <c r="F98" s="5">
        <v>8.6300000000000008</v>
      </c>
      <c r="G98" s="5">
        <f t="shared" si="1"/>
        <v>86.300000000000011</v>
      </c>
    </row>
    <row r="99" spans="1:7" x14ac:dyDescent="0.3">
      <c r="A99" s="7">
        <v>95</v>
      </c>
      <c r="B99" s="2" t="s">
        <v>192</v>
      </c>
      <c r="C99" s="3" t="s">
        <v>193</v>
      </c>
      <c r="D99" s="3">
        <v>39269090</v>
      </c>
      <c r="E99" s="4">
        <v>30</v>
      </c>
      <c r="F99" s="5">
        <v>4.3499999999999996</v>
      </c>
      <c r="G99" s="5">
        <f t="shared" si="1"/>
        <v>130.5</v>
      </c>
    </row>
    <row r="100" spans="1:7" x14ac:dyDescent="0.3">
      <c r="A100" s="7">
        <v>96</v>
      </c>
      <c r="B100" s="2" t="s">
        <v>194</v>
      </c>
      <c r="C100" s="3" t="s">
        <v>195</v>
      </c>
      <c r="D100" s="3">
        <v>39269090</v>
      </c>
      <c r="E100" s="4">
        <v>30</v>
      </c>
      <c r="F100" s="5">
        <v>4.46</v>
      </c>
      <c r="G100" s="5">
        <f t="shared" si="1"/>
        <v>133.80000000000001</v>
      </c>
    </row>
    <row r="101" spans="1:7" x14ac:dyDescent="0.3">
      <c r="A101" s="7">
        <v>97</v>
      </c>
      <c r="B101" s="2" t="s">
        <v>196</v>
      </c>
      <c r="C101" s="3" t="s">
        <v>197</v>
      </c>
      <c r="D101" s="3">
        <v>85122010</v>
      </c>
      <c r="E101" s="4">
        <v>20</v>
      </c>
      <c r="F101" s="5">
        <v>10.130000000000001</v>
      </c>
      <c r="G101" s="5">
        <f t="shared" si="1"/>
        <v>202.60000000000002</v>
      </c>
    </row>
    <row r="102" spans="1:7" x14ac:dyDescent="0.3">
      <c r="A102" s="7">
        <v>98</v>
      </c>
      <c r="B102" s="2" t="s">
        <v>198</v>
      </c>
      <c r="C102" s="3" t="s">
        <v>199</v>
      </c>
      <c r="D102" s="3">
        <v>87141090</v>
      </c>
      <c r="E102" s="4">
        <v>12</v>
      </c>
      <c r="F102" s="5">
        <v>6.26</v>
      </c>
      <c r="G102" s="5">
        <f t="shared" si="1"/>
        <v>75.12</v>
      </c>
    </row>
    <row r="103" spans="1:7" x14ac:dyDescent="0.3">
      <c r="A103" s="7">
        <v>99</v>
      </c>
      <c r="B103" s="2" t="s">
        <v>200</v>
      </c>
      <c r="C103" s="3" t="s">
        <v>201</v>
      </c>
      <c r="D103" s="3">
        <v>85122010</v>
      </c>
      <c r="E103" s="4">
        <v>36</v>
      </c>
      <c r="F103" s="5">
        <v>11.67</v>
      </c>
      <c r="G103" s="5">
        <f t="shared" si="1"/>
        <v>420.12</v>
      </c>
    </row>
    <row r="104" spans="1:7" x14ac:dyDescent="0.3">
      <c r="A104" s="7">
        <v>100</v>
      </c>
      <c r="B104" s="2" t="s">
        <v>202</v>
      </c>
      <c r="C104" s="3" t="s">
        <v>197</v>
      </c>
      <c r="D104" s="3">
        <v>85122010</v>
      </c>
      <c r="E104" s="4">
        <v>40</v>
      </c>
      <c r="F104" s="5">
        <v>13.45</v>
      </c>
      <c r="G104" s="5">
        <f t="shared" si="1"/>
        <v>538</v>
      </c>
    </row>
    <row r="105" spans="1:7" x14ac:dyDescent="0.3">
      <c r="A105" s="7">
        <v>101</v>
      </c>
      <c r="B105" s="2" t="s">
        <v>203</v>
      </c>
      <c r="C105" s="3" t="s">
        <v>204</v>
      </c>
      <c r="D105" s="3">
        <v>73180000</v>
      </c>
      <c r="E105" s="4">
        <v>500</v>
      </c>
      <c r="F105" s="5">
        <v>0.1</v>
      </c>
      <c r="G105" s="5">
        <f t="shared" si="1"/>
        <v>50</v>
      </c>
    </row>
    <row r="106" spans="1:7" x14ac:dyDescent="0.3">
      <c r="A106" s="7">
        <v>102</v>
      </c>
      <c r="B106" s="2" t="s">
        <v>205</v>
      </c>
      <c r="C106" s="3" t="s">
        <v>206</v>
      </c>
      <c r="D106" s="3">
        <v>87141090</v>
      </c>
      <c r="E106" s="4">
        <v>3600</v>
      </c>
      <c r="F106" s="8">
        <v>5.5E-2</v>
      </c>
      <c r="G106" s="5">
        <f t="shared" si="1"/>
        <v>198</v>
      </c>
    </row>
    <row r="107" spans="1:7" x14ac:dyDescent="0.3">
      <c r="A107" s="7">
        <v>103</v>
      </c>
      <c r="B107" s="2" t="s">
        <v>207</v>
      </c>
      <c r="C107" s="3" t="s">
        <v>208</v>
      </c>
      <c r="D107" s="3">
        <v>87141090</v>
      </c>
      <c r="E107" s="4">
        <v>3600</v>
      </c>
      <c r="F107" s="8">
        <v>5.5E-2</v>
      </c>
      <c r="G107" s="5">
        <f t="shared" si="1"/>
        <v>198</v>
      </c>
    </row>
    <row r="108" spans="1:7" x14ac:dyDescent="0.3">
      <c r="A108" s="7">
        <v>104</v>
      </c>
      <c r="B108" s="2" t="s">
        <v>209</v>
      </c>
      <c r="C108" s="3" t="s">
        <v>210</v>
      </c>
      <c r="D108" s="3">
        <v>87141090</v>
      </c>
      <c r="E108" s="4">
        <v>300</v>
      </c>
      <c r="F108" s="5">
        <v>0.73</v>
      </c>
      <c r="G108" s="5">
        <f t="shared" si="1"/>
        <v>219</v>
      </c>
    </row>
    <row r="109" spans="1:7" x14ac:dyDescent="0.3">
      <c r="A109" s="7">
        <v>105</v>
      </c>
      <c r="B109" s="2" t="s">
        <v>211</v>
      </c>
      <c r="C109" s="3" t="s">
        <v>212</v>
      </c>
      <c r="D109" s="3">
        <v>87141090</v>
      </c>
      <c r="E109" s="4">
        <v>120</v>
      </c>
      <c r="F109" s="5">
        <v>1.93</v>
      </c>
      <c r="G109" s="5">
        <f t="shared" si="1"/>
        <v>231.6</v>
      </c>
    </row>
    <row r="110" spans="1:7" x14ac:dyDescent="0.3">
      <c r="A110" s="7">
        <v>106</v>
      </c>
      <c r="B110" s="2" t="s">
        <v>213</v>
      </c>
      <c r="C110" s="3" t="s">
        <v>214</v>
      </c>
      <c r="D110" s="3">
        <v>87141090</v>
      </c>
      <c r="E110" s="4">
        <v>120</v>
      </c>
      <c r="F110" s="5">
        <v>2.08</v>
      </c>
      <c r="G110" s="5">
        <f t="shared" si="1"/>
        <v>249.60000000000002</v>
      </c>
    </row>
    <row r="111" spans="1:7" x14ac:dyDescent="0.3">
      <c r="A111" s="7">
        <v>107</v>
      </c>
      <c r="B111" s="2" t="s">
        <v>215</v>
      </c>
      <c r="C111" s="3" t="s">
        <v>216</v>
      </c>
      <c r="D111" s="3">
        <v>87141090</v>
      </c>
      <c r="E111" s="4">
        <v>66</v>
      </c>
      <c r="F111" s="5">
        <v>1.7</v>
      </c>
      <c r="G111" s="5">
        <f t="shared" si="1"/>
        <v>112.2</v>
      </c>
    </row>
    <row r="112" spans="1:7" x14ac:dyDescent="0.3">
      <c r="A112" s="7">
        <v>108</v>
      </c>
      <c r="B112" s="2" t="s">
        <v>217</v>
      </c>
      <c r="C112" s="3" t="s">
        <v>212</v>
      </c>
      <c r="D112" s="3">
        <v>87141090</v>
      </c>
      <c r="E112" s="4">
        <v>60</v>
      </c>
      <c r="F112" s="5">
        <v>2.02</v>
      </c>
      <c r="G112" s="5">
        <f t="shared" si="1"/>
        <v>121.2</v>
      </c>
    </row>
    <row r="113" spans="1:7" x14ac:dyDescent="0.3">
      <c r="A113" s="7">
        <v>109</v>
      </c>
      <c r="B113" s="2" t="s">
        <v>218</v>
      </c>
      <c r="C113" s="3" t="s">
        <v>219</v>
      </c>
      <c r="D113" s="3">
        <v>87141090</v>
      </c>
      <c r="E113" s="4">
        <v>20</v>
      </c>
      <c r="F113" s="5">
        <v>1.82</v>
      </c>
      <c r="G113" s="5">
        <f t="shared" si="1"/>
        <v>36.4</v>
      </c>
    </row>
    <row r="114" spans="1:7" x14ac:dyDescent="0.3">
      <c r="A114" s="7">
        <v>110</v>
      </c>
      <c r="B114" s="2" t="s">
        <v>220</v>
      </c>
      <c r="C114" s="3" t="s">
        <v>221</v>
      </c>
      <c r="D114" s="3">
        <v>87141090</v>
      </c>
      <c r="E114" s="4">
        <v>150</v>
      </c>
      <c r="F114" s="5">
        <v>2.23</v>
      </c>
      <c r="G114" s="5">
        <f t="shared" si="1"/>
        <v>334.5</v>
      </c>
    </row>
    <row r="115" spans="1:7" x14ac:dyDescent="0.3">
      <c r="A115" s="7">
        <v>111</v>
      </c>
      <c r="B115" s="2" t="s">
        <v>222</v>
      </c>
      <c r="C115" s="3" t="s">
        <v>223</v>
      </c>
      <c r="D115" s="3">
        <v>87141090</v>
      </c>
      <c r="E115" s="4">
        <v>60</v>
      </c>
      <c r="F115" s="5">
        <v>2.48</v>
      </c>
      <c r="G115" s="5">
        <f t="shared" si="1"/>
        <v>148.80000000000001</v>
      </c>
    </row>
    <row r="116" spans="1:7" x14ac:dyDescent="0.3">
      <c r="A116" s="7">
        <v>112</v>
      </c>
      <c r="B116" s="2" t="s">
        <v>224</v>
      </c>
      <c r="C116" s="3" t="s">
        <v>225</v>
      </c>
      <c r="D116" s="3">
        <v>87141090</v>
      </c>
      <c r="E116" s="4">
        <v>150</v>
      </c>
      <c r="F116" s="5">
        <v>3.66</v>
      </c>
      <c r="G116" s="5">
        <f t="shared" si="1"/>
        <v>549</v>
      </c>
    </row>
    <row r="117" spans="1:7" x14ac:dyDescent="0.3">
      <c r="A117" s="7">
        <v>113</v>
      </c>
      <c r="B117" s="2" t="s">
        <v>226</v>
      </c>
      <c r="C117" s="3" t="s">
        <v>227</v>
      </c>
      <c r="D117" s="3">
        <v>87141090</v>
      </c>
      <c r="E117" s="4">
        <v>50</v>
      </c>
      <c r="F117" s="5">
        <v>7.22</v>
      </c>
      <c r="G117" s="5">
        <f t="shared" si="1"/>
        <v>361</v>
      </c>
    </row>
    <row r="118" spans="1:7" x14ac:dyDescent="0.3">
      <c r="A118" s="7">
        <v>114</v>
      </c>
      <c r="B118" s="2" t="s">
        <v>228</v>
      </c>
      <c r="C118" s="3" t="s">
        <v>229</v>
      </c>
      <c r="D118" s="3">
        <v>87141090</v>
      </c>
      <c r="E118" s="4">
        <v>12</v>
      </c>
      <c r="F118" s="8">
        <v>32.65</v>
      </c>
      <c r="G118" s="5">
        <f t="shared" si="1"/>
        <v>391.79999999999995</v>
      </c>
    </row>
    <row r="119" spans="1:7" x14ac:dyDescent="0.3">
      <c r="A119" s="7">
        <v>115</v>
      </c>
      <c r="B119" s="9" t="s">
        <v>230</v>
      </c>
      <c r="C119" s="10" t="s">
        <v>231</v>
      </c>
      <c r="D119" s="3">
        <v>73180000</v>
      </c>
      <c r="E119" s="4">
        <v>2000</v>
      </c>
      <c r="F119" s="5">
        <v>0.01</v>
      </c>
      <c r="G119" s="5">
        <f t="shared" si="1"/>
        <v>20</v>
      </c>
    </row>
    <row r="120" spans="1:7" x14ac:dyDescent="0.3">
      <c r="A120" s="7">
        <v>116</v>
      </c>
      <c r="B120" s="2" t="s">
        <v>232</v>
      </c>
      <c r="C120" s="3" t="s">
        <v>233</v>
      </c>
      <c r="D120" s="3">
        <v>40169390</v>
      </c>
      <c r="E120" s="4">
        <v>500</v>
      </c>
      <c r="F120" s="5">
        <v>0.08</v>
      </c>
      <c r="G120" s="5">
        <f t="shared" si="1"/>
        <v>40</v>
      </c>
    </row>
    <row r="121" spans="1:7" x14ac:dyDescent="0.3">
      <c r="A121" s="7">
        <v>117</v>
      </c>
      <c r="B121" s="2" t="s">
        <v>234</v>
      </c>
      <c r="C121" s="3" t="s">
        <v>235</v>
      </c>
      <c r="D121" s="3">
        <v>40169390</v>
      </c>
      <c r="E121" s="4">
        <v>150</v>
      </c>
      <c r="F121" s="5">
        <v>0.46</v>
      </c>
      <c r="G121" s="5">
        <f t="shared" si="1"/>
        <v>69</v>
      </c>
    </row>
    <row r="122" spans="1:7" x14ac:dyDescent="0.3">
      <c r="A122" s="7">
        <v>118</v>
      </c>
      <c r="B122" s="2" t="s">
        <v>236</v>
      </c>
      <c r="C122" s="3" t="s">
        <v>237</v>
      </c>
      <c r="D122" s="3">
        <v>87141090</v>
      </c>
      <c r="E122" s="4">
        <v>400</v>
      </c>
      <c r="F122" s="5">
        <v>0.44</v>
      </c>
      <c r="G122" s="5">
        <f t="shared" si="1"/>
        <v>176</v>
      </c>
    </row>
    <row r="123" spans="1:7" x14ac:dyDescent="0.3">
      <c r="A123" s="7">
        <v>119</v>
      </c>
      <c r="B123" s="7">
        <v>31101033</v>
      </c>
      <c r="C123" s="3" t="s">
        <v>238</v>
      </c>
      <c r="D123" s="3">
        <v>73151100</v>
      </c>
      <c r="E123" s="4">
        <v>400</v>
      </c>
      <c r="F123" s="5">
        <v>1.1000000000000001</v>
      </c>
      <c r="G123" s="5">
        <f t="shared" si="1"/>
        <v>440.00000000000006</v>
      </c>
    </row>
    <row r="124" spans="1:7" x14ac:dyDescent="0.3">
      <c r="A124" s="7">
        <v>120</v>
      </c>
      <c r="B124" s="2" t="s">
        <v>239</v>
      </c>
      <c r="C124" s="3" t="s">
        <v>240</v>
      </c>
      <c r="D124" s="3">
        <v>87141090</v>
      </c>
      <c r="E124" s="4">
        <v>72</v>
      </c>
      <c r="F124" s="5">
        <v>1.27</v>
      </c>
      <c r="G124" s="5">
        <f t="shared" si="1"/>
        <v>91.44</v>
      </c>
    </row>
    <row r="125" spans="1:7" x14ac:dyDescent="0.3">
      <c r="A125" s="7">
        <v>121</v>
      </c>
      <c r="B125" s="2" t="s">
        <v>241</v>
      </c>
      <c r="C125" s="3" t="s">
        <v>242</v>
      </c>
      <c r="D125" s="3">
        <v>73151100</v>
      </c>
      <c r="E125" s="4">
        <v>150</v>
      </c>
      <c r="F125" s="5">
        <v>1.43</v>
      </c>
      <c r="G125" s="5">
        <f t="shared" si="1"/>
        <v>214.5</v>
      </c>
    </row>
    <row r="126" spans="1:7" x14ac:dyDescent="0.3">
      <c r="A126" s="7">
        <v>122</v>
      </c>
      <c r="B126" s="2" t="s">
        <v>243</v>
      </c>
      <c r="C126" s="3" t="s">
        <v>244</v>
      </c>
      <c r="D126" s="3">
        <v>73151100</v>
      </c>
      <c r="E126" s="4">
        <v>500</v>
      </c>
      <c r="F126" s="5">
        <v>1.6</v>
      </c>
      <c r="G126" s="5">
        <f t="shared" si="1"/>
        <v>800</v>
      </c>
    </row>
    <row r="127" spans="1:7" x14ac:dyDescent="0.3">
      <c r="A127" s="7">
        <v>123</v>
      </c>
      <c r="B127" s="2" t="s">
        <v>245</v>
      </c>
      <c r="C127" s="3" t="s">
        <v>246</v>
      </c>
      <c r="D127" s="3">
        <v>87141090</v>
      </c>
      <c r="E127" s="4">
        <v>30</v>
      </c>
      <c r="F127" s="5">
        <v>1.81</v>
      </c>
      <c r="G127" s="5">
        <f t="shared" si="1"/>
        <v>54.300000000000004</v>
      </c>
    </row>
    <row r="128" spans="1:7" x14ac:dyDescent="0.3">
      <c r="A128" s="7">
        <v>124</v>
      </c>
      <c r="B128" s="2" t="s">
        <v>247</v>
      </c>
      <c r="C128" s="3" t="s">
        <v>248</v>
      </c>
      <c r="D128" s="3">
        <v>87141090</v>
      </c>
      <c r="E128" s="4">
        <v>30</v>
      </c>
      <c r="F128" s="5">
        <v>5.0599999999999996</v>
      </c>
      <c r="G128" s="5">
        <f t="shared" si="1"/>
        <v>151.79999999999998</v>
      </c>
    </row>
    <row r="129" spans="1:7" x14ac:dyDescent="0.3">
      <c r="A129" s="7">
        <v>125</v>
      </c>
      <c r="B129" s="2" t="s">
        <v>249</v>
      </c>
      <c r="C129" s="3" t="s">
        <v>250</v>
      </c>
      <c r="D129" s="3">
        <v>87141090</v>
      </c>
      <c r="E129" s="4">
        <v>12</v>
      </c>
      <c r="F129" s="5">
        <v>8.11</v>
      </c>
      <c r="G129" s="5">
        <f t="shared" si="1"/>
        <v>97.32</v>
      </c>
    </row>
    <row r="130" spans="1:7" x14ac:dyDescent="0.3">
      <c r="A130" s="7">
        <v>126</v>
      </c>
      <c r="B130" s="2" t="s">
        <v>251</v>
      </c>
      <c r="C130" s="3" t="s">
        <v>252</v>
      </c>
      <c r="D130" s="3">
        <v>84831000</v>
      </c>
      <c r="E130" s="4">
        <v>12</v>
      </c>
      <c r="F130" s="5">
        <v>20.98</v>
      </c>
      <c r="G130" s="5">
        <f t="shared" si="1"/>
        <v>251.76</v>
      </c>
    </row>
    <row r="131" spans="1:7" x14ac:dyDescent="0.3">
      <c r="A131" s="7">
        <v>127</v>
      </c>
      <c r="B131" s="2" t="s">
        <v>253</v>
      </c>
      <c r="C131" s="3" t="s">
        <v>254</v>
      </c>
      <c r="D131" s="3">
        <v>87141090</v>
      </c>
      <c r="E131" s="4">
        <v>24</v>
      </c>
      <c r="F131" s="8">
        <v>28</v>
      </c>
      <c r="G131" s="5">
        <f t="shared" si="1"/>
        <v>672</v>
      </c>
    </row>
    <row r="132" spans="1:7" x14ac:dyDescent="0.3">
      <c r="A132" s="7">
        <v>128</v>
      </c>
      <c r="B132" s="2" t="s">
        <v>255</v>
      </c>
      <c r="C132" s="3" t="s">
        <v>256</v>
      </c>
      <c r="D132" s="3">
        <v>84099190</v>
      </c>
      <c r="E132" s="4">
        <v>50</v>
      </c>
      <c r="F132" s="8">
        <v>22.95</v>
      </c>
      <c r="G132" s="5">
        <f t="shared" si="1"/>
        <v>1147.5</v>
      </c>
    </row>
    <row r="133" spans="1:7" x14ac:dyDescent="0.3">
      <c r="A133" s="7">
        <v>129</v>
      </c>
      <c r="B133" s="2" t="s">
        <v>257</v>
      </c>
      <c r="C133" s="3" t="s">
        <v>258</v>
      </c>
      <c r="D133" s="3">
        <v>84831000</v>
      </c>
      <c r="E133" s="4">
        <v>12</v>
      </c>
      <c r="F133" s="8">
        <v>24.15</v>
      </c>
      <c r="G133" s="5">
        <f t="shared" si="1"/>
        <v>289.79999999999995</v>
      </c>
    </row>
    <row r="134" spans="1:7" x14ac:dyDescent="0.3">
      <c r="A134" s="7">
        <v>130</v>
      </c>
      <c r="B134" s="2" t="s">
        <v>259</v>
      </c>
      <c r="C134" s="3" t="s">
        <v>260</v>
      </c>
      <c r="D134" s="3">
        <v>84099190</v>
      </c>
      <c r="E134" s="4">
        <v>40</v>
      </c>
      <c r="F134" s="8">
        <v>24.25</v>
      </c>
      <c r="G134" s="5">
        <f t="shared" ref="G134:G197" si="2">F134*E134</f>
        <v>970</v>
      </c>
    </row>
    <row r="135" spans="1:7" x14ac:dyDescent="0.3">
      <c r="A135" s="7">
        <v>131</v>
      </c>
      <c r="B135" s="2" t="s">
        <v>261</v>
      </c>
      <c r="C135" s="3" t="s">
        <v>262</v>
      </c>
      <c r="D135" s="3">
        <v>84099190</v>
      </c>
      <c r="E135" s="4">
        <v>150</v>
      </c>
      <c r="F135" s="8">
        <v>24.5</v>
      </c>
      <c r="G135" s="5">
        <f t="shared" si="2"/>
        <v>3675</v>
      </c>
    </row>
    <row r="136" spans="1:7" x14ac:dyDescent="0.3">
      <c r="A136" s="7">
        <v>132</v>
      </c>
      <c r="B136" s="2" t="s">
        <v>263</v>
      </c>
      <c r="C136" s="3" t="s">
        <v>264</v>
      </c>
      <c r="D136" s="3">
        <v>87141090</v>
      </c>
      <c r="E136" s="4">
        <v>60</v>
      </c>
      <c r="F136" s="5">
        <v>0.97</v>
      </c>
      <c r="G136" s="5">
        <f t="shared" si="2"/>
        <v>58.199999999999996</v>
      </c>
    </row>
    <row r="137" spans="1:7" x14ac:dyDescent="0.3">
      <c r="A137" s="7">
        <v>133</v>
      </c>
      <c r="B137" s="2" t="s">
        <v>265</v>
      </c>
      <c r="C137" s="3" t="s">
        <v>55</v>
      </c>
      <c r="D137" s="3">
        <v>87141090</v>
      </c>
      <c r="E137" s="4">
        <v>250</v>
      </c>
      <c r="F137" s="5">
        <v>0.27</v>
      </c>
      <c r="G137" s="5">
        <f t="shared" si="2"/>
        <v>67.5</v>
      </c>
    </row>
    <row r="138" spans="1:7" x14ac:dyDescent="0.3">
      <c r="A138" s="7">
        <v>134</v>
      </c>
      <c r="B138" s="2" t="s">
        <v>266</v>
      </c>
      <c r="C138" s="3" t="s">
        <v>267</v>
      </c>
      <c r="D138" s="3">
        <v>87141090</v>
      </c>
      <c r="E138" s="4">
        <v>120</v>
      </c>
      <c r="F138" s="5">
        <v>1.39</v>
      </c>
      <c r="G138" s="5">
        <f t="shared" si="2"/>
        <v>166.79999999999998</v>
      </c>
    </row>
    <row r="139" spans="1:7" x14ac:dyDescent="0.3">
      <c r="A139" s="7">
        <v>135</v>
      </c>
      <c r="B139" s="2" t="s">
        <v>268</v>
      </c>
      <c r="C139" s="3" t="s">
        <v>269</v>
      </c>
      <c r="D139" s="3">
        <v>87141090</v>
      </c>
      <c r="E139" s="4">
        <v>100</v>
      </c>
      <c r="F139" s="5">
        <v>0</v>
      </c>
      <c r="G139" s="5">
        <f t="shared" si="2"/>
        <v>0</v>
      </c>
    </row>
    <row r="140" spans="1:7" x14ac:dyDescent="0.3">
      <c r="A140" s="7">
        <v>136</v>
      </c>
      <c r="B140" s="2" t="s">
        <v>270</v>
      </c>
      <c r="C140" s="3" t="s">
        <v>271</v>
      </c>
      <c r="D140" s="3">
        <v>87141090</v>
      </c>
      <c r="E140" s="4">
        <v>200</v>
      </c>
      <c r="F140" s="5">
        <v>2.56</v>
      </c>
      <c r="G140" s="5">
        <f t="shared" si="2"/>
        <v>512</v>
      </c>
    </row>
    <row r="141" spans="1:7" x14ac:dyDescent="0.3">
      <c r="A141" s="7">
        <v>137</v>
      </c>
      <c r="B141" s="2" t="s">
        <v>272</v>
      </c>
      <c r="C141" s="3" t="s">
        <v>271</v>
      </c>
      <c r="D141" s="3">
        <v>87141090</v>
      </c>
      <c r="E141" s="4">
        <v>300</v>
      </c>
      <c r="F141" s="5">
        <v>2.81</v>
      </c>
      <c r="G141" s="5">
        <f t="shared" si="2"/>
        <v>843</v>
      </c>
    </row>
    <row r="142" spans="1:7" x14ac:dyDescent="0.3">
      <c r="A142" s="7">
        <v>138</v>
      </c>
      <c r="B142" s="2" t="s">
        <v>273</v>
      </c>
      <c r="C142" s="3" t="s">
        <v>274</v>
      </c>
      <c r="D142" s="3">
        <v>87141090</v>
      </c>
      <c r="E142" s="4">
        <v>360</v>
      </c>
      <c r="F142" s="5">
        <v>2.97</v>
      </c>
      <c r="G142" s="5">
        <f t="shared" si="2"/>
        <v>1069.2</v>
      </c>
    </row>
    <row r="143" spans="1:7" x14ac:dyDescent="0.3">
      <c r="A143" s="7">
        <v>139</v>
      </c>
      <c r="B143" s="2" t="s">
        <v>275</v>
      </c>
      <c r="C143" s="3" t="s">
        <v>276</v>
      </c>
      <c r="D143" s="3">
        <v>87141090</v>
      </c>
      <c r="E143" s="4">
        <v>250</v>
      </c>
      <c r="F143" s="5">
        <v>3.19</v>
      </c>
      <c r="G143" s="5">
        <f t="shared" si="2"/>
        <v>797.5</v>
      </c>
    </row>
    <row r="144" spans="1:7" x14ac:dyDescent="0.3">
      <c r="A144" s="7">
        <v>140</v>
      </c>
      <c r="B144" s="2" t="s">
        <v>277</v>
      </c>
      <c r="C144" s="3" t="s">
        <v>278</v>
      </c>
      <c r="D144" s="3">
        <v>87141090</v>
      </c>
      <c r="E144" s="4">
        <v>400</v>
      </c>
      <c r="F144" s="5">
        <v>3.15</v>
      </c>
      <c r="G144" s="5">
        <f t="shared" si="2"/>
        <v>1260</v>
      </c>
    </row>
    <row r="145" spans="1:7" x14ac:dyDescent="0.3">
      <c r="A145" s="7">
        <v>141</v>
      </c>
      <c r="B145" s="2" t="s">
        <v>279</v>
      </c>
      <c r="C145" s="3" t="s">
        <v>280</v>
      </c>
      <c r="D145" s="3">
        <v>87141090</v>
      </c>
      <c r="E145" s="4">
        <v>80</v>
      </c>
      <c r="F145" s="5">
        <v>16.899999999999999</v>
      </c>
      <c r="G145" s="5">
        <f t="shared" si="2"/>
        <v>1352</v>
      </c>
    </row>
    <row r="146" spans="1:7" x14ac:dyDescent="0.3">
      <c r="A146" s="7">
        <v>142</v>
      </c>
      <c r="B146" s="2" t="s">
        <v>281</v>
      </c>
      <c r="C146" s="3" t="s">
        <v>282</v>
      </c>
      <c r="D146" s="3">
        <v>87141090</v>
      </c>
      <c r="E146" s="4">
        <v>42</v>
      </c>
      <c r="F146" s="5">
        <v>2.83</v>
      </c>
      <c r="G146" s="5">
        <f t="shared" si="2"/>
        <v>118.86</v>
      </c>
    </row>
    <row r="147" spans="1:7" x14ac:dyDescent="0.3">
      <c r="A147" s="7">
        <v>143</v>
      </c>
      <c r="B147" s="2" t="s">
        <v>283</v>
      </c>
      <c r="C147" s="3" t="s">
        <v>284</v>
      </c>
      <c r="D147" s="3">
        <v>87141090</v>
      </c>
      <c r="E147" s="4">
        <v>12</v>
      </c>
      <c r="F147" s="5">
        <v>9</v>
      </c>
      <c r="G147" s="5">
        <f t="shared" si="2"/>
        <v>108</v>
      </c>
    </row>
    <row r="148" spans="1:7" x14ac:dyDescent="0.3">
      <c r="A148" s="7">
        <v>144</v>
      </c>
      <c r="B148" s="2" t="s">
        <v>285</v>
      </c>
      <c r="C148" s="3" t="s">
        <v>286</v>
      </c>
      <c r="D148" s="3">
        <v>87141090</v>
      </c>
      <c r="E148" s="4">
        <v>42</v>
      </c>
      <c r="F148" s="5">
        <v>1.85</v>
      </c>
      <c r="G148" s="5">
        <f t="shared" si="2"/>
        <v>77.7</v>
      </c>
    </row>
    <row r="149" spans="1:7" x14ac:dyDescent="0.3">
      <c r="A149" s="7">
        <v>145</v>
      </c>
      <c r="B149" s="2" t="s">
        <v>287</v>
      </c>
      <c r="C149" s="3" t="s">
        <v>288</v>
      </c>
      <c r="D149" s="3">
        <v>87141090</v>
      </c>
      <c r="E149" s="4">
        <v>120</v>
      </c>
      <c r="F149" s="5">
        <v>1.1299999999999999</v>
      </c>
      <c r="G149" s="5">
        <f t="shared" si="2"/>
        <v>135.6</v>
      </c>
    </row>
    <row r="150" spans="1:7" x14ac:dyDescent="0.3">
      <c r="A150" s="7">
        <v>146</v>
      </c>
      <c r="B150" s="2" t="s">
        <v>289</v>
      </c>
      <c r="C150" s="3" t="s">
        <v>290</v>
      </c>
      <c r="D150" s="3">
        <v>87141090</v>
      </c>
      <c r="E150" s="4">
        <v>120</v>
      </c>
      <c r="F150" s="5">
        <v>0</v>
      </c>
      <c r="G150" s="5">
        <f t="shared" si="2"/>
        <v>0</v>
      </c>
    </row>
    <row r="151" spans="1:7" x14ac:dyDescent="0.3">
      <c r="A151" s="7">
        <v>147</v>
      </c>
      <c r="B151" s="2" t="s">
        <v>291</v>
      </c>
      <c r="C151" s="3" t="s">
        <v>292</v>
      </c>
      <c r="D151" s="3">
        <v>87141090</v>
      </c>
      <c r="E151" s="4">
        <v>120</v>
      </c>
      <c r="F151" s="5">
        <v>1.22</v>
      </c>
      <c r="G151" s="5">
        <f t="shared" si="2"/>
        <v>146.4</v>
      </c>
    </row>
    <row r="152" spans="1:7" x14ac:dyDescent="0.3">
      <c r="A152" s="7">
        <v>148</v>
      </c>
      <c r="B152" s="2" t="s">
        <v>293</v>
      </c>
      <c r="C152" s="3" t="s">
        <v>294</v>
      </c>
      <c r="D152" s="3">
        <v>87141090</v>
      </c>
      <c r="E152" s="4">
        <v>70</v>
      </c>
      <c r="F152" s="5">
        <v>1.28</v>
      </c>
      <c r="G152" s="5">
        <f t="shared" si="2"/>
        <v>89.600000000000009</v>
      </c>
    </row>
    <row r="153" spans="1:7" x14ac:dyDescent="0.3">
      <c r="A153" s="7">
        <v>149</v>
      </c>
      <c r="B153" s="2" t="s">
        <v>295</v>
      </c>
      <c r="C153" s="3" t="s">
        <v>296</v>
      </c>
      <c r="D153" s="3">
        <v>87141090</v>
      </c>
      <c r="E153" s="4">
        <v>150</v>
      </c>
      <c r="F153" s="5">
        <v>0</v>
      </c>
      <c r="G153" s="5">
        <f t="shared" si="2"/>
        <v>0</v>
      </c>
    </row>
    <row r="154" spans="1:7" x14ac:dyDescent="0.3">
      <c r="A154" s="7">
        <v>150</v>
      </c>
      <c r="B154" s="2" t="s">
        <v>297</v>
      </c>
      <c r="C154" s="3" t="s">
        <v>298</v>
      </c>
      <c r="D154" s="3">
        <v>87141090</v>
      </c>
      <c r="E154" s="4">
        <v>120</v>
      </c>
      <c r="F154" s="5">
        <v>1.1499999999999999</v>
      </c>
      <c r="G154" s="5">
        <f t="shared" si="2"/>
        <v>138</v>
      </c>
    </row>
    <row r="155" spans="1:7" x14ac:dyDescent="0.3">
      <c r="A155" s="7">
        <v>151</v>
      </c>
      <c r="B155" s="2" t="s">
        <v>299</v>
      </c>
      <c r="C155" s="3" t="s">
        <v>119</v>
      </c>
      <c r="D155" s="3">
        <v>87141090</v>
      </c>
      <c r="E155" s="4">
        <v>120</v>
      </c>
      <c r="F155" s="5">
        <v>1.04</v>
      </c>
      <c r="G155" s="5">
        <f t="shared" si="2"/>
        <v>124.80000000000001</v>
      </c>
    </row>
    <row r="156" spans="1:7" x14ac:dyDescent="0.3">
      <c r="A156" s="7">
        <v>152</v>
      </c>
      <c r="B156" s="2" t="s">
        <v>300</v>
      </c>
      <c r="C156" s="3" t="s">
        <v>301</v>
      </c>
      <c r="D156" s="3">
        <v>87141090</v>
      </c>
      <c r="E156" s="4">
        <v>42</v>
      </c>
      <c r="F156" s="5">
        <v>1.61</v>
      </c>
      <c r="G156" s="5">
        <f t="shared" si="2"/>
        <v>67.62</v>
      </c>
    </row>
    <row r="157" spans="1:7" x14ac:dyDescent="0.3">
      <c r="A157" s="7">
        <v>153</v>
      </c>
      <c r="B157" s="2" t="s">
        <v>302</v>
      </c>
      <c r="C157" s="3" t="s">
        <v>303</v>
      </c>
      <c r="D157" s="3">
        <v>87141090</v>
      </c>
      <c r="E157" s="4">
        <v>300</v>
      </c>
      <c r="F157" s="5">
        <v>2.25</v>
      </c>
      <c r="G157" s="5">
        <f t="shared" si="2"/>
        <v>675</v>
      </c>
    </row>
    <row r="158" spans="1:7" x14ac:dyDescent="0.3">
      <c r="A158" s="7">
        <v>154</v>
      </c>
      <c r="B158" s="2" t="s">
        <v>304</v>
      </c>
      <c r="C158" s="3" t="s">
        <v>305</v>
      </c>
      <c r="D158" s="3">
        <v>84831000</v>
      </c>
      <c r="E158" s="4">
        <v>120</v>
      </c>
      <c r="F158" s="5">
        <v>6.94</v>
      </c>
      <c r="G158" s="5">
        <f t="shared" si="2"/>
        <v>832.80000000000007</v>
      </c>
    </row>
    <row r="159" spans="1:7" x14ac:dyDescent="0.3">
      <c r="A159" s="7">
        <v>155</v>
      </c>
      <c r="B159" s="2" t="s">
        <v>306</v>
      </c>
      <c r="C159" s="3" t="s">
        <v>307</v>
      </c>
      <c r="D159" s="3">
        <v>84831000</v>
      </c>
      <c r="E159" s="4">
        <v>75</v>
      </c>
      <c r="F159" s="5">
        <v>4.63</v>
      </c>
      <c r="G159" s="5">
        <f t="shared" si="2"/>
        <v>347.25</v>
      </c>
    </row>
    <row r="160" spans="1:7" x14ac:dyDescent="0.3">
      <c r="A160" s="7">
        <v>156</v>
      </c>
      <c r="B160" s="2" t="s">
        <v>308</v>
      </c>
      <c r="C160" s="3" t="s">
        <v>309</v>
      </c>
      <c r="D160" s="3">
        <v>84831000</v>
      </c>
      <c r="E160" s="4">
        <v>60</v>
      </c>
      <c r="F160" s="5">
        <v>5.3</v>
      </c>
      <c r="G160" s="5">
        <f t="shared" si="2"/>
        <v>318</v>
      </c>
    </row>
    <row r="161" spans="1:7" x14ac:dyDescent="0.3">
      <c r="A161" s="7">
        <v>157</v>
      </c>
      <c r="B161" s="2" t="s">
        <v>310</v>
      </c>
      <c r="C161" s="3" t="s">
        <v>311</v>
      </c>
      <c r="D161" s="3">
        <v>84831000</v>
      </c>
      <c r="E161" s="4">
        <v>600</v>
      </c>
      <c r="F161" s="5">
        <v>0.26</v>
      </c>
      <c r="G161" s="5">
        <f t="shared" si="2"/>
        <v>156</v>
      </c>
    </row>
    <row r="162" spans="1:7" x14ac:dyDescent="0.3">
      <c r="A162" s="7">
        <v>158</v>
      </c>
      <c r="B162" s="7">
        <v>15161069</v>
      </c>
      <c r="C162" s="10" t="s">
        <v>312</v>
      </c>
      <c r="D162" s="3">
        <v>87141090</v>
      </c>
      <c r="E162" s="4">
        <v>200</v>
      </c>
      <c r="F162" s="5">
        <v>0.06</v>
      </c>
      <c r="G162" s="5">
        <f t="shared" si="2"/>
        <v>12</v>
      </c>
    </row>
    <row r="163" spans="1:7" x14ac:dyDescent="0.3">
      <c r="A163" s="7">
        <v>159</v>
      </c>
      <c r="B163" s="2" t="s">
        <v>313</v>
      </c>
      <c r="C163" s="3" t="s">
        <v>314</v>
      </c>
      <c r="D163" s="3">
        <v>87141090</v>
      </c>
      <c r="E163" s="4">
        <v>480</v>
      </c>
      <c r="F163" s="5">
        <v>0.69</v>
      </c>
      <c r="G163" s="5">
        <f t="shared" si="2"/>
        <v>331.2</v>
      </c>
    </row>
    <row r="164" spans="1:7" x14ac:dyDescent="0.3">
      <c r="A164" s="7">
        <v>160</v>
      </c>
      <c r="B164" s="2" t="s">
        <v>315</v>
      </c>
      <c r="C164" s="3" t="s">
        <v>314</v>
      </c>
      <c r="D164" s="3">
        <v>87141090</v>
      </c>
      <c r="E164" s="4">
        <v>50</v>
      </c>
      <c r="F164" s="5">
        <v>0.53</v>
      </c>
      <c r="G164" s="5">
        <f t="shared" si="2"/>
        <v>26.5</v>
      </c>
    </row>
    <row r="165" spans="1:7" x14ac:dyDescent="0.3">
      <c r="A165" s="7">
        <v>161</v>
      </c>
      <c r="B165" s="2" t="s">
        <v>316</v>
      </c>
      <c r="C165" s="3" t="s">
        <v>317</v>
      </c>
      <c r="D165" s="3">
        <v>87141090</v>
      </c>
      <c r="E165" s="4">
        <v>250</v>
      </c>
      <c r="F165" s="5">
        <v>0.63</v>
      </c>
      <c r="G165" s="5">
        <f t="shared" si="2"/>
        <v>157.5</v>
      </c>
    </row>
    <row r="166" spans="1:7" x14ac:dyDescent="0.3">
      <c r="A166" s="7">
        <v>162</v>
      </c>
      <c r="B166" s="2" t="s">
        <v>318</v>
      </c>
      <c r="C166" s="3" t="s">
        <v>319</v>
      </c>
      <c r="D166" s="3">
        <v>87141090</v>
      </c>
      <c r="E166" s="4">
        <v>150</v>
      </c>
      <c r="F166" s="5">
        <v>0</v>
      </c>
      <c r="G166" s="5">
        <f t="shared" si="2"/>
        <v>0</v>
      </c>
    </row>
    <row r="167" spans="1:7" x14ac:dyDescent="0.3">
      <c r="A167" s="7">
        <v>163</v>
      </c>
      <c r="B167" s="2" t="s">
        <v>320</v>
      </c>
      <c r="C167" s="3" t="s">
        <v>319</v>
      </c>
      <c r="D167" s="3">
        <v>87141090</v>
      </c>
      <c r="E167" s="4">
        <v>400</v>
      </c>
      <c r="F167" s="5">
        <v>0.33</v>
      </c>
      <c r="G167" s="5">
        <f t="shared" si="2"/>
        <v>132</v>
      </c>
    </row>
    <row r="168" spans="1:7" x14ac:dyDescent="0.3">
      <c r="A168" s="7">
        <v>164</v>
      </c>
      <c r="B168" s="2" t="s">
        <v>321</v>
      </c>
      <c r="C168" s="3" t="s">
        <v>322</v>
      </c>
      <c r="D168" s="3">
        <v>87141090</v>
      </c>
      <c r="E168" s="4">
        <v>20</v>
      </c>
      <c r="F168" s="5">
        <v>0.23</v>
      </c>
      <c r="G168" s="5">
        <f t="shared" si="2"/>
        <v>4.6000000000000005</v>
      </c>
    </row>
    <row r="169" spans="1:7" x14ac:dyDescent="0.3">
      <c r="A169" s="7">
        <v>165</v>
      </c>
      <c r="B169" s="2" t="s">
        <v>323</v>
      </c>
      <c r="C169" s="3" t="s">
        <v>324</v>
      </c>
      <c r="D169" s="3">
        <v>87141090</v>
      </c>
      <c r="E169" s="4">
        <v>80</v>
      </c>
      <c r="F169" s="5">
        <v>7.99</v>
      </c>
      <c r="G169" s="5">
        <f t="shared" si="2"/>
        <v>639.20000000000005</v>
      </c>
    </row>
    <row r="170" spans="1:7" x14ac:dyDescent="0.3">
      <c r="A170" s="7">
        <v>166</v>
      </c>
      <c r="B170" s="2" t="s">
        <v>325</v>
      </c>
      <c r="C170" s="3" t="s">
        <v>326</v>
      </c>
      <c r="D170" s="3">
        <v>87141090</v>
      </c>
      <c r="E170" s="4">
        <v>50</v>
      </c>
      <c r="F170" s="5">
        <v>1.9</v>
      </c>
      <c r="G170" s="5">
        <f t="shared" si="2"/>
        <v>95</v>
      </c>
    </row>
    <row r="171" spans="1:7" x14ac:dyDescent="0.3">
      <c r="A171" s="7">
        <v>167</v>
      </c>
      <c r="B171" s="2" t="s">
        <v>327</v>
      </c>
      <c r="C171" s="3" t="s">
        <v>328</v>
      </c>
      <c r="D171" s="3">
        <v>87141090</v>
      </c>
      <c r="E171" s="4">
        <v>40</v>
      </c>
      <c r="F171" s="5">
        <v>1.79</v>
      </c>
      <c r="G171" s="5">
        <f t="shared" si="2"/>
        <v>71.599999999999994</v>
      </c>
    </row>
    <row r="172" spans="1:7" x14ac:dyDescent="0.3">
      <c r="A172" s="7">
        <v>168</v>
      </c>
      <c r="B172" s="2" t="s">
        <v>329</v>
      </c>
      <c r="C172" s="3" t="s">
        <v>330</v>
      </c>
      <c r="D172" s="3">
        <v>87141090</v>
      </c>
      <c r="E172" s="4">
        <v>200</v>
      </c>
      <c r="F172" s="5">
        <v>0.27</v>
      </c>
      <c r="G172" s="5">
        <f t="shared" si="2"/>
        <v>54</v>
      </c>
    </row>
    <row r="173" spans="1:7" x14ac:dyDescent="0.3">
      <c r="A173" s="7">
        <v>169</v>
      </c>
      <c r="B173" s="2" t="s">
        <v>331</v>
      </c>
      <c r="C173" s="3" t="s">
        <v>332</v>
      </c>
      <c r="D173" s="3">
        <v>87141090</v>
      </c>
      <c r="E173" s="4">
        <v>200</v>
      </c>
      <c r="F173" s="5">
        <v>0.72</v>
      </c>
      <c r="G173" s="5">
        <f t="shared" si="2"/>
        <v>144</v>
      </c>
    </row>
    <row r="174" spans="1:7" x14ac:dyDescent="0.3">
      <c r="A174" s="7">
        <v>170</v>
      </c>
      <c r="B174" s="2" t="s">
        <v>333</v>
      </c>
      <c r="C174" s="3" t="s">
        <v>334</v>
      </c>
      <c r="D174" s="3">
        <v>73151100</v>
      </c>
      <c r="E174" s="4">
        <v>120</v>
      </c>
      <c r="F174" s="5">
        <v>1.56</v>
      </c>
      <c r="G174" s="5">
        <f t="shared" si="2"/>
        <v>187.20000000000002</v>
      </c>
    </row>
    <row r="175" spans="1:7" x14ac:dyDescent="0.3">
      <c r="A175" s="7">
        <v>171</v>
      </c>
      <c r="B175" s="2" t="s">
        <v>335</v>
      </c>
      <c r="C175" s="3" t="s">
        <v>336</v>
      </c>
      <c r="D175" s="3">
        <v>73151100</v>
      </c>
      <c r="E175" s="4">
        <v>30</v>
      </c>
      <c r="F175" s="5">
        <v>2.96</v>
      </c>
      <c r="G175" s="5">
        <f t="shared" si="2"/>
        <v>88.8</v>
      </c>
    </row>
    <row r="176" spans="1:7" x14ac:dyDescent="0.3">
      <c r="A176" s="7">
        <v>172</v>
      </c>
      <c r="B176" s="2" t="s">
        <v>337</v>
      </c>
      <c r="C176" s="3" t="s">
        <v>338</v>
      </c>
      <c r="D176" s="3">
        <v>73151100</v>
      </c>
      <c r="E176" s="4">
        <v>240</v>
      </c>
      <c r="F176" s="5">
        <v>1.27</v>
      </c>
      <c r="G176" s="5">
        <f t="shared" si="2"/>
        <v>304.8</v>
      </c>
    </row>
    <row r="177" spans="1:7" x14ac:dyDescent="0.3">
      <c r="A177" s="7">
        <v>173</v>
      </c>
      <c r="B177" s="2" t="s">
        <v>339</v>
      </c>
      <c r="C177" s="3" t="s">
        <v>340</v>
      </c>
      <c r="D177" s="3">
        <v>73151100</v>
      </c>
      <c r="E177" s="4">
        <v>200</v>
      </c>
      <c r="F177" s="5">
        <v>1.71</v>
      </c>
      <c r="G177" s="5">
        <f t="shared" si="2"/>
        <v>342</v>
      </c>
    </row>
    <row r="178" spans="1:7" x14ac:dyDescent="0.3">
      <c r="A178" s="7">
        <v>174</v>
      </c>
      <c r="B178" s="2" t="s">
        <v>341</v>
      </c>
      <c r="C178" s="3" t="s">
        <v>342</v>
      </c>
      <c r="D178" s="3">
        <v>87141090</v>
      </c>
      <c r="E178" s="4">
        <v>12</v>
      </c>
      <c r="F178" s="5">
        <v>7.75</v>
      </c>
      <c r="G178" s="5">
        <f t="shared" si="2"/>
        <v>93</v>
      </c>
    </row>
    <row r="179" spans="1:7" x14ac:dyDescent="0.3">
      <c r="A179" s="7">
        <v>175</v>
      </c>
      <c r="B179" s="2" t="s">
        <v>343</v>
      </c>
      <c r="C179" s="3" t="s">
        <v>344</v>
      </c>
      <c r="D179" s="3">
        <v>87141090</v>
      </c>
      <c r="E179" s="4">
        <v>30</v>
      </c>
      <c r="F179" s="5">
        <v>2.02</v>
      </c>
      <c r="G179" s="5">
        <f t="shared" si="2"/>
        <v>60.6</v>
      </c>
    </row>
    <row r="180" spans="1:7" x14ac:dyDescent="0.3">
      <c r="A180" s="7">
        <v>176</v>
      </c>
      <c r="B180" s="2" t="s">
        <v>345</v>
      </c>
      <c r="C180" s="3" t="s">
        <v>346</v>
      </c>
      <c r="D180" s="3">
        <v>87141090</v>
      </c>
      <c r="E180" s="4">
        <v>100</v>
      </c>
      <c r="F180" s="5">
        <v>9.09</v>
      </c>
      <c r="G180" s="5">
        <f t="shared" si="2"/>
        <v>909</v>
      </c>
    </row>
    <row r="181" spans="1:7" x14ac:dyDescent="0.3">
      <c r="A181" s="7">
        <v>177</v>
      </c>
      <c r="B181" s="2" t="s">
        <v>347</v>
      </c>
      <c r="C181" s="3" t="s">
        <v>348</v>
      </c>
      <c r="D181" s="3">
        <v>87141090</v>
      </c>
      <c r="E181" s="4">
        <v>36</v>
      </c>
      <c r="F181" s="5">
        <v>0.87</v>
      </c>
      <c r="G181" s="5">
        <f t="shared" si="2"/>
        <v>31.32</v>
      </c>
    </row>
    <row r="182" spans="1:7" x14ac:dyDescent="0.3">
      <c r="A182" s="7">
        <v>178</v>
      </c>
      <c r="B182" s="7">
        <v>31111056</v>
      </c>
      <c r="C182" s="3" t="s">
        <v>349</v>
      </c>
      <c r="D182" s="3">
        <v>87141090</v>
      </c>
      <c r="E182" s="4">
        <v>30</v>
      </c>
      <c r="F182" s="5">
        <v>1.99</v>
      </c>
      <c r="G182" s="5">
        <f t="shared" si="2"/>
        <v>59.7</v>
      </c>
    </row>
    <row r="183" spans="1:7" x14ac:dyDescent="0.3">
      <c r="A183" s="7">
        <v>179</v>
      </c>
      <c r="B183" s="2" t="s">
        <v>350</v>
      </c>
      <c r="C183" s="3" t="s">
        <v>351</v>
      </c>
      <c r="D183" s="3">
        <v>87141090</v>
      </c>
      <c r="E183" s="4">
        <v>60</v>
      </c>
      <c r="F183" s="5">
        <v>0.24</v>
      </c>
      <c r="G183" s="5">
        <f t="shared" si="2"/>
        <v>14.399999999999999</v>
      </c>
    </row>
    <row r="184" spans="1:7" x14ac:dyDescent="0.3">
      <c r="A184" s="7">
        <v>180</v>
      </c>
      <c r="B184" s="2" t="s">
        <v>352</v>
      </c>
      <c r="C184" s="3" t="s">
        <v>353</v>
      </c>
      <c r="D184" s="3">
        <v>87141090</v>
      </c>
      <c r="E184" s="4">
        <v>20</v>
      </c>
      <c r="F184" s="5">
        <v>0.39</v>
      </c>
      <c r="G184" s="5">
        <f t="shared" si="2"/>
        <v>7.8000000000000007</v>
      </c>
    </row>
    <row r="185" spans="1:7" x14ac:dyDescent="0.3">
      <c r="A185" s="7">
        <v>181</v>
      </c>
      <c r="B185" s="2" t="s">
        <v>354</v>
      </c>
      <c r="C185" s="3" t="s">
        <v>355</v>
      </c>
      <c r="D185" s="3">
        <v>87141090</v>
      </c>
      <c r="E185" s="4">
        <v>50</v>
      </c>
      <c r="F185" s="5">
        <v>0.19</v>
      </c>
      <c r="G185" s="5">
        <f t="shared" si="2"/>
        <v>9.5</v>
      </c>
    </row>
    <row r="186" spans="1:7" x14ac:dyDescent="0.3">
      <c r="A186" s="7">
        <v>182</v>
      </c>
      <c r="B186" s="2" t="s">
        <v>356</v>
      </c>
      <c r="C186" s="3" t="s">
        <v>357</v>
      </c>
      <c r="D186" s="3">
        <v>84831000</v>
      </c>
      <c r="E186" s="4">
        <v>12</v>
      </c>
      <c r="F186" s="5">
        <v>18.52</v>
      </c>
      <c r="G186" s="5">
        <f t="shared" si="2"/>
        <v>222.24</v>
      </c>
    </row>
    <row r="187" spans="1:7" x14ac:dyDescent="0.3">
      <c r="A187" s="7">
        <v>183</v>
      </c>
      <c r="B187" s="2" t="s">
        <v>358</v>
      </c>
      <c r="C187" s="3" t="s">
        <v>359</v>
      </c>
      <c r="D187" s="3">
        <v>87141090</v>
      </c>
      <c r="E187" s="4">
        <v>20</v>
      </c>
      <c r="F187" s="5">
        <v>0.43</v>
      </c>
      <c r="G187" s="5">
        <f t="shared" si="2"/>
        <v>8.6</v>
      </c>
    </row>
    <row r="188" spans="1:7" x14ac:dyDescent="0.3">
      <c r="A188" s="7">
        <v>184</v>
      </c>
      <c r="B188" s="2" t="s">
        <v>360</v>
      </c>
      <c r="C188" s="3" t="s">
        <v>361</v>
      </c>
      <c r="D188" s="3">
        <v>87141090</v>
      </c>
      <c r="E188" s="4">
        <v>300</v>
      </c>
      <c r="F188" s="5">
        <v>0.13</v>
      </c>
      <c r="G188" s="5">
        <f t="shared" si="2"/>
        <v>39</v>
      </c>
    </row>
    <row r="189" spans="1:7" x14ac:dyDescent="0.3">
      <c r="A189" s="7">
        <v>185</v>
      </c>
      <c r="B189" s="2" t="s">
        <v>362</v>
      </c>
      <c r="C189" s="3" t="s">
        <v>363</v>
      </c>
      <c r="D189" s="3">
        <v>84099190</v>
      </c>
      <c r="E189" s="4">
        <v>70</v>
      </c>
      <c r="F189" s="5">
        <v>19.829999999999998</v>
      </c>
      <c r="G189" s="5">
        <f t="shared" si="2"/>
        <v>1388.1</v>
      </c>
    </row>
    <row r="190" spans="1:7" x14ac:dyDescent="0.3">
      <c r="A190" s="7">
        <v>186</v>
      </c>
      <c r="B190" s="9" t="s">
        <v>364</v>
      </c>
      <c r="C190" s="10" t="s">
        <v>365</v>
      </c>
      <c r="D190" s="3">
        <v>84099190</v>
      </c>
      <c r="E190" s="4">
        <v>90</v>
      </c>
      <c r="F190" s="11">
        <v>16.899999999999999</v>
      </c>
      <c r="G190" s="5">
        <f t="shared" si="2"/>
        <v>1520.9999999999998</v>
      </c>
    </row>
    <row r="191" spans="1:7" x14ac:dyDescent="0.3">
      <c r="A191" s="7">
        <v>187</v>
      </c>
      <c r="B191" s="2" t="s">
        <v>366</v>
      </c>
      <c r="C191" s="3" t="s">
        <v>367</v>
      </c>
      <c r="D191" s="3">
        <v>84099190</v>
      </c>
      <c r="E191" s="4">
        <v>98</v>
      </c>
      <c r="F191" s="5">
        <v>15.62</v>
      </c>
      <c r="G191" s="5">
        <f t="shared" si="2"/>
        <v>1530.76</v>
      </c>
    </row>
    <row r="192" spans="1:7" x14ac:dyDescent="0.3">
      <c r="A192" s="7">
        <v>188</v>
      </c>
      <c r="B192" s="2" t="s">
        <v>368</v>
      </c>
      <c r="C192" s="3" t="s">
        <v>369</v>
      </c>
      <c r="D192" s="3">
        <v>84099190</v>
      </c>
      <c r="E192" s="4">
        <v>110</v>
      </c>
      <c r="F192" s="5">
        <v>17.57</v>
      </c>
      <c r="G192" s="5">
        <f t="shared" si="2"/>
        <v>1932.7</v>
      </c>
    </row>
    <row r="193" spans="1:7" x14ac:dyDescent="0.3">
      <c r="A193" s="7">
        <v>189</v>
      </c>
      <c r="B193" s="2" t="s">
        <v>370</v>
      </c>
      <c r="C193" s="3" t="s">
        <v>371</v>
      </c>
      <c r="D193" s="3">
        <v>84099190</v>
      </c>
      <c r="E193" s="4">
        <v>136</v>
      </c>
      <c r="F193" s="5">
        <v>19.23</v>
      </c>
      <c r="G193" s="5">
        <f t="shared" si="2"/>
        <v>2615.2800000000002</v>
      </c>
    </row>
    <row r="194" spans="1:7" x14ac:dyDescent="0.3">
      <c r="A194" s="7">
        <v>190</v>
      </c>
      <c r="B194" s="2" t="s">
        <v>372</v>
      </c>
      <c r="C194" s="3" t="s">
        <v>373</v>
      </c>
      <c r="D194" s="3">
        <v>84099190</v>
      </c>
      <c r="E194" s="4">
        <v>50</v>
      </c>
      <c r="F194" s="5">
        <v>22.27</v>
      </c>
      <c r="G194" s="5">
        <f t="shared" si="2"/>
        <v>1113.5</v>
      </c>
    </row>
    <row r="195" spans="1:7" x14ac:dyDescent="0.3">
      <c r="A195" s="7">
        <v>191</v>
      </c>
      <c r="B195" s="7">
        <v>31101314</v>
      </c>
      <c r="C195" s="3" t="s">
        <v>374</v>
      </c>
      <c r="D195" s="3">
        <v>84099190</v>
      </c>
      <c r="E195" s="4">
        <v>24</v>
      </c>
      <c r="F195" s="5">
        <v>21.75</v>
      </c>
      <c r="G195" s="5">
        <f t="shared" si="2"/>
        <v>522</v>
      </c>
    </row>
    <row r="196" spans="1:7" x14ac:dyDescent="0.3">
      <c r="A196" s="7">
        <v>192</v>
      </c>
      <c r="B196" s="2" t="s">
        <v>375</v>
      </c>
      <c r="C196" s="3" t="s">
        <v>376</v>
      </c>
      <c r="D196" s="3">
        <v>84099190</v>
      </c>
      <c r="E196" s="4">
        <v>100</v>
      </c>
      <c r="F196" s="5">
        <v>19.22</v>
      </c>
      <c r="G196" s="5">
        <f t="shared" si="2"/>
        <v>1922</v>
      </c>
    </row>
    <row r="197" spans="1:7" x14ac:dyDescent="0.3">
      <c r="A197" s="7">
        <v>193</v>
      </c>
      <c r="B197" s="2" t="s">
        <v>377</v>
      </c>
      <c r="C197" s="3" t="s">
        <v>378</v>
      </c>
      <c r="D197" s="3">
        <v>84099190</v>
      </c>
      <c r="E197" s="4">
        <v>200</v>
      </c>
      <c r="F197" s="5">
        <v>3.6</v>
      </c>
      <c r="G197" s="5">
        <f t="shared" si="2"/>
        <v>720</v>
      </c>
    </row>
    <row r="198" spans="1:7" x14ac:dyDescent="0.3">
      <c r="A198" s="7">
        <v>194</v>
      </c>
      <c r="B198" s="2" t="s">
        <v>379</v>
      </c>
      <c r="C198" s="3" t="s">
        <v>380</v>
      </c>
      <c r="D198" s="3">
        <v>87141090</v>
      </c>
      <c r="E198" s="4">
        <v>100</v>
      </c>
      <c r="F198" s="5">
        <v>0.73</v>
      </c>
      <c r="G198" s="5">
        <f t="shared" ref="G198:G261" si="3">F198*E198</f>
        <v>73</v>
      </c>
    </row>
    <row r="199" spans="1:7" x14ac:dyDescent="0.3">
      <c r="A199" s="7">
        <v>195</v>
      </c>
      <c r="B199" s="2" t="s">
        <v>381</v>
      </c>
      <c r="C199" s="3" t="s">
        <v>382</v>
      </c>
      <c r="D199" s="3">
        <v>87141090</v>
      </c>
      <c r="E199" s="4">
        <v>100</v>
      </c>
      <c r="F199" s="5">
        <v>1.79</v>
      </c>
      <c r="G199" s="5">
        <f t="shared" si="3"/>
        <v>179</v>
      </c>
    </row>
    <row r="200" spans="1:7" x14ac:dyDescent="0.3">
      <c r="A200" s="7">
        <v>196</v>
      </c>
      <c r="B200" s="2" t="s">
        <v>383</v>
      </c>
      <c r="C200" s="3" t="s">
        <v>384</v>
      </c>
      <c r="D200" s="3">
        <v>87141090</v>
      </c>
      <c r="E200" s="4">
        <v>42</v>
      </c>
      <c r="F200" s="5">
        <v>1.39</v>
      </c>
      <c r="G200" s="5">
        <f t="shared" si="3"/>
        <v>58.379999999999995</v>
      </c>
    </row>
    <row r="201" spans="1:7" x14ac:dyDescent="0.3">
      <c r="A201" s="7">
        <v>197</v>
      </c>
      <c r="B201" s="2" t="s">
        <v>385</v>
      </c>
      <c r="C201" s="3" t="s">
        <v>386</v>
      </c>
      <c r="D201" s="3">
        <v>87141090</v>
      </c>
      <c r="E201" s="4">
        <v>10</v>
      </c>
      <c r="F201" s="5">
        <v>7.94</v>
      </c>
      <c r="G201" s="5">
        <f t="shared" si="3"/>
        <v>79.400000000000006</v>
      </c>
    </row>
    <row r="202" spans="1:7" x14ac:dyDescent="0.3">
      <c r="A202" s="7">
        <v>198</v>
      </c>
      <c r="B202" s="2" t="s">
        <v>387</v>
      </c>
      <c r="C202" s="3" t="s">
        <v>386</v>
      </c>
      <c r="D202" s="3">
        <v>87141090</v>
      </c>
      <c r="E202" s="4">
        <v>42</v>
      </c>
      <c r="F202" s="5">
        <v>5.22</v>
      </c>
      <c r="G202" s="5">
        <f t="shared" si="3"/>
        <v>219.23999999999998</v>
      </c>
    </row>
    <row r="203" spans="1:7" x14ac:dyDescent="0.3">
      <c r="A203" s="7">
        <v>199</v>
      </c>
      <c r="B203" s="2" t="s">
        <v>388</v>
      </c>
      <c r="C203" s="3" t="s">
        <v>389</v>
      </c>
      <c r="D203" s="3">
        <v>87141090</v>
      </c>
      <c r="E203" s="4">
        <v>10</v>
      </c>
      <c r="F203" s="5">
        <v>8.0500000000000007</v>
      </c>
      <c r="G203" s="5">
        <f t="shared" si="3"/>
        <v>80.5</v>
      </c>
    </row>
    <row r="204" spans="1:7" x14ac:dyDescent="0.3">
      <c r="A204" s="7">
        <v>200</v>
      </c>
      <c r="B204" s="2" t="s">
        <v>390</v>
      </c>
      <c r="C204" s="3" t="s">
        <v>391</v>
      </c>
      <c r="D204" s="3">
        <v>84841000</v>
      </c>
      <c r="E204" s="4">
        <v>1000</v>
      </c>
      <c r="F204" s="5">
        <v>0.02</v>
      </c>
      <c r="G204" s="5">
        <f t="shared" si="3"/>
        <v>20</v>
      </c>
    </row>
    <row r="205" spans="1:7" x14ac:dyDescent="0.3">
      <c r="A205" s="7">
        <v>201</v>
      </c>
      <c r="B205" s="2" t="s">
        <v>392</v>
      </c>
      <c r="C205" s="3" t="s">
        <v>393</v>
      </c>
      <c r="D205" s="3">
        <v>84841000</v>
      </c>
      <c r="E205" s="4">
        <v>50</v>
      </c>
      <c r="F205" s="5">
        <v>0.59</v>
      </c>
      <c r="G205" s="5">
        <f t="shared" si="3"/>
        <v>29.5</v>
      </c>
    </row>
    <row r="206" spans="1:7" x14ac:dyDescent="0.3">
      <c r="A206" s="7">
        <v>202</v>
      </c>
      <c r="B206" s="2" t="s">
        <v>394</v>
      </c>
      <c r="C206" s="3" t="s">
        <v>395</v>
      </c>
      <c r="D206" s="3">
        <v>84841000</v>
      </c>
      <c r="E206" s="4">
        <v>300</v>
      </c>
      <c r="F206" s="5">
        <v>0.56999999999999995</v>
      </c>
      <c r="G206" s="5">
        <f t="shared" si="3"/>
        <v>170.99999999999997</v>
      </c>
    </row>
    <row r="207" spans="1:7" x14ac:dyDescent="0.3">
      <c r="A207" s="7">
        <v>203</v>
      </c>
      <c r="B207" s="2" t="s">
        <v>396</v>
      </c>
      <c r="C207" s="3" t="s">
        <v>397</v>
      </c>
      <c r="D207" s="3">
        <v>84841000</v>
      </c>
      <c r="E207" s="4">
        <v>300</v>
      </c>
      <c r="F207" s="5">
        <v>0.87</v>
      </c>
      <c r="G207" s="5">
        <f t="shared" si="3"/>
        <v>261</v>
      </c>
    </row>
    <row r="208" spans="1:7" x14ac:dyDescent="0.3">
      <c r="A208" s="7">
        <v>204</v>
      </c>
      <c r="B208" s="2" t="s">
        <v>398</v>
      </c>
      <c r="C208" s="3" t="s">
        <v>399</v>
      </c>
      <c r="D208" s="3">
        <v>84841000</v>
      </c>
      <c r="E208" s="4">
        <v>120</v>
      </c>
      <c r="F208" s="5">
        <v>0.71</v>
      </c>
      <c r="G208" s="5">
        <f t="shared" si="3"/>
        <v>85.199999999999989</v>
      </c>
    </row>
    <row r="209" spans="1:7" x14ac:dyDescent="0.3">
      <c r="A209" s="7">
        <v>205</v>
      </c>
      <c r="B209" s="2" t="s">
        <v>400</v>
      </c>
      <c r="C209" s="3" t="s">
        <v>401</v>
      </c>
      <c r="D209" s="3">
        <v>84841000</v>
      </c>
      <c r="E209" s="4">
        <v>700</v>
      </c>
      <c r="F209" s="5">
        <v>0.19</v>
      </c>
      <c r="G209" s="5">
        <f t="shared" si="3"/>
        <v>133</v>
      </c>
    </row>
    <row r="210" spans="1:7" x14ac:dyDescent="0.3">
      <c r="A210" s="7">
        <v>206</v>
      </c>
      <c r="B210" s="2" t="s">
        <v>402</v>
      </c>
      <c r="C210" s="3" t="s">
        <v>403</v>
      </c>
      <c r="D210" s="3">
        <v>84841000</v>
      </c>
      <c r="E210" s="4">
        <v>300</v>
      </c>
      <c r="F210" s="5">
        <v>0.14000000000000001</v>
      </c>
      <c r="G210" s="5">
        <f t="shared" si="3"/>
        <v>42.000000000000007</v>
      </c>
    </row>
    <row r="211" spans="1:7" x14ac:dyDescent="0.3">
      <c r="A211" s="7">
        <v>207</v>
      </c>
      <c r="B211" s="2" t="s">
        <v>404</v>
      </c>
      <c r="C211" s="3" t="s">
        <v>403</v>
      </c>
      <c r="D211" s="3">
        <v>84841000</v>
      </c>
      <c r="E211" s="4">
        <v>100</v>
      </c>
      <c r="F211" s="5">
        <v>0.87</v>
      </c>
      <c r="G211" s="5">
        <f t="shared" si="3"/>
        <v>87</v>
      </c>
    </row>
    <row r="212" spans="1:7" x14ac:dyDescent="0.3">
      <c r="A212" s="7">
        <v>208</v>
      </c>
      <c r="B212" s="2" t="s">
        <v>405</v>
      </c>
      <c r="C212" s="3" t="s">
        <v>406</v>
      </c>
      <c r="D212" s="3">
        <v>84841000</v>
      </c>
      <c r="E212" s="4">
        <v>100</v>
      </c>
      <c r="F212" s="5">
        <v>0.13</v>
      </c>
      <c r="G212" s="5">
        <f t="shared" si="3"/>
        <v>13</v>
      </c>
    </row>
    <row r="213" spans="1:7" x14ac:dyDescent="0.3">
      <c r="A213" s="7">
        <v>209</v>
      </c>
      <c r="B213" s="2" t="s">
        <v>407</v>
      </c>
      <c r="C213" s="3" t="s">
        <v>408</v>
      </c>
      <c r="D213" s="3">
        <v>84841000</v>
      </c>
      <c r="E213" s="4">
        <v>100</v>
      </c>
      <c r="F213" s="5">
        <v>0.1</v>
      </c>
      <c r="G213" s="5">
        <f t="shared" si="3"/>
        <v>10</v>
      </c>
    </row>
    <row r="214" spans="1:7" x14ac:dyDescent="0.3">
      <c r="A214" s="7">
        <v>210</v>
      </c>
      <c r="B214" s="2" t="s">
        <v>409</v>
      </c>
      <c r="C214" s="3" t="s">
        <v>410</v>
      </c>
      <c r="D214" s="3">
        <v>84841000</v>
      </c>
      <c r="E214" s="4">
        <v>420</v>
      </c>
      <c r="F214" s="5">
        <v>0.65</v>
      </c>
      <c r="G214" s="5">
        <f t="shared" si="3"/>
        <v>273</v>
      </c>
    </row>
    <row r="215" spans="1:7" x14ac:dyDescent="0.3">
      <c r="A215" s="7">
        <v>211</v>
      </c>
      <c r="B215" s="2" t="s">
        <v>411</v>
      </c>
      <c r="C215" s="3" t="s">
        <v>410</v>
      </c>
      <c r="D215" s="3">
        <v>84841000</v>
      </c>
      <c r="E215" s="4">
        <v>42</v>
      </c>
      <c r="F215" s="5">
        <v>0.64</v>
      </c>
      <c r="G215" s="5">
        <f t="shared" si="3"/>
        <v>26.88</v>
      </c>
    </row>
    <row r="216" spans="1:7" x14ac:dyDescent="0.3">
      <c r="A216" s="7">
        <v>212</v>
      </c>
      <c r="B216" s="2" t="s">
        <v>412</v>
      </c>
      <c r="C216" s="3" t="s">
        <v>413</v>
      </c>
      <c r="D216" s="3">
        <v>84841000</v>
      </c>
      <c r="E216" s="4">
        <v>60</v>
      </c>
      <c r="F216" s="5">
        <v>0.13</v>
      </c>
      <c r="G216" s="5">
        <f t="shared" si="3"/>
        <v>7.8000000000000007</v>
      </c>
    </row>
    <row r="217" spans="1:7" x14ac:dyDescent="0.3">
      <c r="A217" s="7">
        <v>213</v>
      </c>
      <c r="B217" s="2" t="s">
        <v>414</v>
      </c>
      <c r="C217" s="3" t="s">
        <v>415</v>
      </c>
      <c r="D217" s="3">
        <v>84841000</v>
      </c>
      <c r="E217" s="4">
        <v>100</v>
      </c>
      <c r="F217" s="5">
        <v>1.07</v>
      </c>
      <c r="G217" s="5">
        <f t="shared" si="3"/>
        <v>107</v>
      </c>
    </row>
    <row r="218" spans="1:7" x14ac:dyDescent="0.3">
      <c r="A218" s="7">
        <v>214</v>
      </c>
      <c r="B218" s="2" t="s">
        <v>416</v>
      </c>
      <c r="C218" s="3" t="s">
        <v>417</v>
      </c>
      <c r="D218" s="3">
        <v>84841000</v>
      </c>
      <c r="E218" s="4">
        <v>20</v>
      </c>
      <c r="F218" s="5">
        <v>1.4</v>
      </c>
      <c r="G218" s="5">
        <f t="shared" si="3"/>
        <v>28</v>
      </c>
    </row>
    <row r="219" spans="1:7" x14ac:dyDescent="0.3">
      <c r="A219" s="7">
        <v>215</v>
      </c>
      <c r="B219" s="2" t="s">
        <v>418</v>
      </c>
      <c r="C219" s="3" t="s">
        <v>59</v>
      </c>
      <c r="D219" s="3">
        <v>84841000</v>
      </c>
      <c r="E219" s="4">
        <v>60</v>
      </c>
      <c r="F219" s="5">
        <v>0</v>
      </c>
      <c r="G219" s="5">
        <f t="shared" si="3"/>
        <v>0</v>
      </c>
    </row>
    <row r="220" spans="1:7" x14ac:dyDescent="0.3">
      <c r="A220" s="7">
        <v>216</v>
      </c>
      <c r="B220" s="2" t="s">
        <v>419</v>
      </c>
      <c r="C220" s="3" t="s">
        <v>59</v>
      </c>
      <c r="D220" s="3">
        <v>84841000</v>
      </c>
      <c r="E220" s="4">
        <v>80</v>
      </c>
      <c r="F220" s="5">
        <v>0</v>
      </c>
      <c r="G220" s="5">
        <f t="shared" si="3"/>
        <v>0</v>
      </c>
    </row>
    <row r="221" spans="1:7" x14ac:dyDescent="0.3">
      <c r="A221" s="7">
        <v>217</v>
      </c>
      <c r="B221" s="2" t="s">
        <v>420</v>
      </c>
      <c r="C221" s="3" t="s">
        <v>421</v>
      </c>
      <c r="D221" s="3">
        <v>84841000</v>
      </c>
      <c r="E221" s="4">
        <v>40</v>
      </c>
      <c r="F221" s="5">
        <v>0.53</v>
      </c>
      <c r="G221" s="5">
        <f t="shared" si="3"/>
        <v>21.200000000000003</v>
      </c>
    </row>
    <row r="222" spans="1:7" x14ac:dyDescent="0.3">
      <c r="A222" s="7">
        <v>218</v>
      </c>
      <c r="B222" s="2" t="s">
        <v>422</v>
      </c>
      <c r="C222" s="3" t="s">
        <v>423</v>
      </c>
      <c r="D222" s="3">
        <v>87141090</v>
      </c>
      <c r="E222" s="4">
        <v>30</v>
      </c>
      <c r="F222" s="5">
        <v>1.43</v>
      </c>
      <c r="G222" s="5">
        <f t="shared" si="3"/>
        <v>42.9</v>
      </c>
    </row>
    <row r="223" spans="1:7" x14ac:dyDescent="0.3">
      <c r="A223" s="7">
        <v>219</v>
      </c>
      <c r="B223" s="7">
        <v>30151041</v>
      </c>
      <c r="C223" s="3" t="s">
        <v>424</v>
      </c>
      <c r="D223" s="3">
        <v>87141090</v>
      </c>
      <c r="E223" s="4">
        <v>120</v>
      </c>
      <c r="F223" s="5">
        <v>0.3</v>
      </c>
      <c r="G223" s="5">
        <f t="shared" si="3"/>
        <v>36</v>
      </c>
    </row>
    <row r="224" spans="1:7" x14ac:dyDescent="0.3">
      <c r="A224" s="7">
        <v>220</v>
      </c>
      <c r="B224" s="2" t="s">
        <v>425</v>
      </c>
      <c r="C224" s="3" t="s">
        <v>426</v>
      </c>
      <c r="D224" s="3">
        <v>87141090</v>
      </c>
      <c r="E224" s="4">
        <v>60</v>
      </c>
      <c r="F224" s="5">
        <v>1.79</v>
      </c>
      <c r="G224" s="5">
        <f t="shared" si="3"/>
        <v>107.4</v>
      </c>
    </row>
    <row r="225" spans="1:7" x14ac:dyDescent="0.3">
      <c r="A225" s="7">
        <v>221</v>
      </c>
      <c r="B225" s="7">
        <v>31151064</v>
      </c>
      <c r="C225" s="3" t="s">
        <v>427</v>
      </c>
      <c r="D225" s="3">
        <v>87141090</v>
      </c>
      <c r="E225" s="4">
        <v>150</v>
      </c>
      <c r="F225" s="5">
        <v>0.11</v>
      </c>
      <c r="G225" s="5">
        <f t="shared" si="3"/>
        <v>16.5</v>
      </c>
    </row>
    <row r="226" spans="1:7" x14ac:dyDescent="0.3">
      <c r="A226" s="7">
        <v>222</v>
      </c>
      <c r="B226" s="2" t="s">
        <v>428</v>
      </c>
      <c r="C226" s="3" t="s">
        <v>429</v>
      </c>
      <c r="D226" s="3">
        <v>87141090</v>
      </c>
      <c r="E226" s="4">
        <v>60</v>
      </c>
      <c r="F226" s="5">
        <v>0.84</v>
      </c>
      <c r="G226" s="5">
        <f t="shared" si="3"/>
        <v>50.4</v>
      </c>
    </row>
    <row r="227" spans="1:7" x14ac:dyDescent="0.3">
      <c r="A227" s="7">
        <v>223</v>
      </c>
      <c r="B227" s="2" t="s">
        <v>430</v>
      </c>
      <c r="C227" s="3" t="s">
        <v>431</v>
      </c>
      <c r="D227" s="3">
        <v>87141090</v>
      </c>
      <c r="E227" s="4">
        <v>30</v>
      </c>
      <c r="F227" s="5">
        <v>3.46</v>
      </c>
      <c r="G227" s="5">
        <f t="shared" si="3"/>
        <v>103.8</v>
      </c>
    </row>
    <row r="228" spans="1:7" x14ac:dyDescent="0.3">
      <c r="A228" s="7">
        <v>224</v>
      </c>
      <c r="B228" s="2" t="s">
        <v>432</v>
      </c>
      <c r="C228" s="3" t="s">
        <v>433</v>
      </c>
      <c r="D228" s="3">
        <v>87141090</v>
      </c>
      <c r="E228" s="4">
        <v>40</v>
      </c>
      <c r="F228" s="5">
        <v>4.91</v>
      </c>
      <c r="G228" s="5">
        <f t="shared" si="3"/>
        <v>196.4</v>
      </c>
    </row>
    <row r="229" spans="1:7" x14ac:dyDescent="0.3">
      <c r="A229" s="7">
        <v>225</v>
      </c>
      <c r="B229" s="2" t="s">
        <v>434</v>
      </c>
      <c r="C229" s="3" t="s">
        <v>435</v>
      </c>
      <c r="D229" s="3">
        <v>87141090</v>
      </c>
      <c r="E229" s="4">
        <v>60</v>
      </c>
      <c r="F229" s="5">
        <v>1.99</v>
      </c>
      <c r="G229" s="5">
        <f t="shared" si="3"/>
        <v>119.4</v>
      </c>
    </row>
    <row r="230" spans="1:7" x14ac:dyDescent="0.3">
      <c r="A230" s="7">
        <v>226</v>
      </c>
      <c r="B230" s="2" t="s">
        <v>436</v>
      </c>
      <c r="C230" s="3" t="s">
        <v>437</v>
      </c>
      <c r="D230" s="3">
        <v>87141090</v>
      </c>
      <c r="E230" s="4">
        <v>60</v>
      </c>
      <c r="F230" s="5">
        <v>1.99</v>
      </c>
      <c r="G230" s="5">
        <f t="shared" si="3"/>
        <v>119.4</v>
      </c>
    </row>
    <row r="231" spans="1:7" x14ac:dyDescent="0.3">
      <c r="A231" s="7">
        <v>227</v>
      </c>
      <c r="B231" s="2" t="s">
        <v>438</v>
      </c>
      <c r="C231" s="3" t="s">
        <v>439</v>
      </c>
      <c r="D231" s="3">
        <v>87141090</v>
      </c>
      <c r="E231" s="4">
        <v>50</v>
      </c>
      <c r="F231" s="5">
        <v>1.04</v>
      </c>
      <c r="G231" s="5">
        <f t="shared" si="3"/>
        <v>52</v>
      </c>
    </row>
    <row r="232" spans="1:7" x14ac:dyDescent="0.3">
      <c r="A232" s="7">
        <v>228</v>
      </c>
      <c r="B232" s="2" t="s">
        <v>440</v>
      </c>
      <c r="C232" s="3" t="s">
        <v>441</v>
      </c>
      <c r="D232" s="3">
        <v>87141090</v>
      </c>
      <c r="E232" s="4">
        <v>24</v>
      </c>
      <c r="F232" s="5">
        <v>1.89</v>
      </c>
      <c r="G232" s="5">
        <f t="shared" si="3"/>
        <v>45.36</v>
      </c>
    </row>
    <row r="233" spans="1:7" x14ac:dyDescent="0.3">
      <c r="A233" s="7">
        <v>229</v>
      </c>
      <c r="B233" s="2" t="s">
        <v>442</v>
      </c>
      <c r="C233" s="3" t="s">
        <v>443</v>
      </c>
      <c r="D233" s="3">
        <v>87141090</v>
      </c>
      <c r="E233" s="4">
        <v>20</v>
      </c>
      <c r="F233" s="5">
        <v>1.68</v>
      </c>
      <c r="G233" s="5">
        <f t="shared" si="3"/>
        <v>33.6</v>
      </c>
    </row>
    <row r="234" spans="1:7" x14ac:dyDescent="0.3">
      <c r="A234" s="7">
        <v>230</v>
      </c>
      <c r="B234" s="2" t="s">
        <v>444</v>
      </c>
      <c r="C234" s="3" t="s">
        <v>445</v>
      </c>
      <c r="D234" s="3">
        <v>87141090</v>
      </c>
      <c r="E234" s="4">
        <v>54</v>
      </c>
      <c r="F234" s="5">
        <v>1.68</v>
      </c>
      <c r="G234" s="5">
        <f t="shared" si="3"/>
        <v>90.72</v>
      </c>
    </row>
    <row r="235" spans="1:7" x14ac:dyDescent="0.3">
      <c r="A235" s="7">
        <v>231</v>
      </c>
      <c r="B235" s="2" t="s">
        <v>446</v>
      </c>
      <c r="C235" s="3" t="s">
        <v>447</v>
      </c>
      <c r="D235" s="3">
        <v>87141090</v>
      </c>
      <c r="E235" s="4">
        <v>42</v>
      </c>
      <c r="F235" s="5">
        <v>0.21</v>
      </c>
      <c r="G235" s="5">
        <f t="shared" si="3"/>
        <v>8.82</v>
      </c>
    </row>
    <row r="236" spans="1:7" x14ac:dyDescent="0.3">
      <c r="A236" s="7">
        <v>232</v>
      </c>
      <c r="B236" s="2" t="s">
        <v>448</v>
      </c>
      <c r="C236" s="3" t="s">
        <v>449</v>
      </c>
      <c r="D236" s="3">
        <v>87141090</v>
      </c>
      <c r="E236" s="4">
        <v>12</v>
      </c>
      <c r="F236" s="5">
        <v>10.61</v>
      </c>
      <c r="G236" s="5">
        <f t="shared" si="3"/>
        <v>127.32</v>
      </c>
    </row>
    <row r="237" spans="1:7" x14ac:dyDescent="0.3">
      <c r="A237" s="7">
        <v>233</v>
      </c>
      <c r="B237" s="2" t="s">
        <v>450</v>
      </c>
      <c r="C237" s="3" t="s">
        <v>451</v>
      </c>
      <c r="D237" s="3">
        <v>84099190</v>
      </c>
      <c r="E237" s="4">
        <v>24</v>
      </c>
      <c r="F237" s="5">
        <v>1.61</v>
      </c>
      <c r="G237" s="5">
        <f t="shared" si="3"/>
        <v>38.64</v>
      </c>
    </row>
    <row r="238" spans="1:7" x14ac:dyDescent="0.3">
      <c r="A238" s="7">
        <v>234</v>
      </c>
      <c r="B238" s="2" t="s">
        <v>452</v>
      </c>
      <c r="C238" s="3" t="s">
        <v>453</v>
      </c>
      <c r="D238" s="3">
        <v>87141090</v>
      </c>
      <c r="E238" s="4">
        <v>20</v>
      </c>
      <c r="F238" s="5">
        <v>0.8</v>
      </c>
      <c r="G238" s="5">
        <f t="shared" si="3"/>
        <v>16</v>
      </c>
    </row>
    <row r="239" spans="1:7" x14ac:dyDescent="0.3">
      <c r="A239" s="7">
        <v>235</v>
      </c>
      <c r="B239" s="2" t="s">
        <v>454</v>
      </c>
      <c r="C239" s="3" t="s">
        <v>455</v>
      </c>
      <c r="D239" s="3">
        <v>87141090</v>
      </c>
      <c r="E239" s="4">
        <v>20</v>
      </c>
      <c r="F239" s="5">
        <v>0.37</v>
      </c>
      <c r="G239" s="5">
        <f t="shared" si="3"/>
        <v>7.4</v>
      </c>
    </row>
    <row r="240" spans="1:7" x14ac:dyDescent="0.3">
      <c r="A240" s="7">
        <v>236</v>
      </c>
      <c r="B240" s="2" t="s">
        <v>456</v>
      </c>
      <c r="C240" s="3" t="s">
        <v>457</v>
      </c>
      <c r="D240" s="3">
        <v>87141090</v>
      </c>
      <c r="E240" s="4">
        <v>60</v>
      </c>
      <c r="F240" s="5">
        <v>0.88</v>
      </c>
      <c r="G240" s="5">
        <f t="shared" si="3"/>
        <v>52.8</v>
      </c>
    </row>
    <row r="241" spans="1:7" x14ac:dyDescent="0.3">
      <c r="A241" s="7">
        <v>237</v>
      </c>
      <c r="B241" s="2" t="s">
        <v>458</v>
      </c>
      <c r="C241" s="3" t="s">
        <v>459</v>
      </c>
      <c r="D241" s="3">
        <v>87141090</v>
      </c>
      <c r="E241" s="4">
        <v>30</v>
      </c>
      <c r="F241" s="5">
        <v>8.86</v>
      </c>
      <c r="G241" s="5">
        <f t="shared" si="3"/>
        <v>265.79999999999995</v>
      </c>
    </row>
    <row r="242" spans="1:7" x14ac:dyDescent="0.3">
      <c r="A242" s="7">
        <v>238</v>
      </c>
      <c r="B242" s="2" t="s">
        <v>460</v>
      </c>
      <c r="C242" s="3" t="s">
        <v>461</v>
      </c>
      <c r="D242" s="3">
        <v>87141090</v>
      </c>
      <c r="E242" s="4">
        <v>120</v>
      </c>
      <c r="F242" s="5">
        <v>4.8</v>
      </c>
      <c r="G242" s="5">
        <f t="shared" si="3"/>
        <v>576</v>
      </c>
    </row>
    <row r="243" spans="1:7" x14ac:dyDescent="0.3">
      <c r="A243" s="7">
        <v>239</v>
      </c>
      <c r="B243" s="2" t="s">
        <v>462</v>
      </c>
      <c r="C243" s="3" t="s">
        <v>463</v>
      </c>
      <c r="D243" s="3">
        <v>87141090</v>
      </c>
      <c r="E243" s="4">
        <v>30</v>
      </c>
      <c r="F243" s="5">
        <v>1.46</v>
      </c>
      <c r="G243" s="5">
        <f t="shared" si="3"/>
        <v>43.8</v>
      </c>
    </row>
    <row r="244" spans="1:7" x14ac:dyDescent="0.3">
      <c r="A244" s="7">
        <v>240</v>
      </c>
      <c r="B244" s="2" t="s">
        <v>464</v>
      </c>
      <c r="C244" s="3" t="s">
        <v>465</v>
      </c>
      <c r="D244" s="3">
        <v>87141090</v>
      </c>
      <c r="E244" s="4">
        <v>50</v>
      </c>
      <c r="F244" s="5">
        <v>0.68</v>
      </c>
      <c r="G244" s="5">
        <f t="shared" si="3"/>
        <v>34</v>
      </c>
    </row>
    <row r="245" spans="1:7" x14ac:dyDescent="0.3">
      <c r="A245" s="7">
        <v>241</v>
      </c>
      <c r="B245" s="2" t="s">
        <v>466</v>
      </c>
      <c r="C245" s="3" t="s">
        <v>467</v>
      </c>
      <c r="D245" s="3">
        <v>87141090</v>
      </c>
      <c r="E245" s="4">
        <v>60</v>
      </c>
      <c r="F245" s="5">
        <v>0.39</v>
      </c>
      <c r="G245" s="5">
        <f t="shared" si="3"/>
        <v>23.400000000000002</v>
      </c>
    </row>
    <row r="246" spans="1:7" x14ac:dyDescent="0.3">
      <c r="A246" s="7">
        <v>242</v>
      </c>
      <c r="B246" s="2" t="s">
        <v>468</v>
      </c>
      <c r="C246" s="3" t="s">
        <v>469</v>
      </c>
      <c r="D246" s="3">
        <v>87141090</v>
      </c>
      <c r="E246" s="4">
        <v>200</v>
      </c>
      <c r="F246" s="5">
        <v>0.4</v>
      </c>
      <c r="G246" s="5">
        <f t="shared" si="3"/>
        <v>80</v>
      </c>
    </row>
    <row r="247" spans="1:7" x14ac:dyDescent="0.3">
      <c r="A247" s="7">
        <v>243</v>
      </c>
      <c r="B247" s="2" t="s">
        <v>470</v>
      </c>
      <c r="C247" s="3" t="s">
        <v>471</v>
      </c>
      <c r="D247" s="3">
        <v>87141090</v>
      </c>
      <c r="E247" s="4">
        <v>200</v>
      </c>
      <c r="F247" s="5">
        <v>0.13</v>
      </c>
      <c r="G247" s="5">
        <f t="shared" si="3"/>
        <v>26</v>
      </c>
    </row>
    <row r="248" spans="1:7" x14ac:dyDescent="0.3">
      <c r="A248" s="7">
        <v>244</v>
      </c>
      <c r="B248" s="2" t="s">
        <v>472</v>
      </c>
      <c r="C248" s="3" t="s">
        <v>473</v>
      </c>
      <c r="D248" s="3">
        <v>87141090</v>
      </c>
      <c r="E248" s="4">
        <v>30</v>
      </c>
      <c r="F248" s="5">
        <v>3.35</v>
      </c>
      <c r="G248" s="5">
        <f t="shared" si="3"/>
        <v>100.5</v>
      </c>
    </row>
    <row r="249" spans="1:7" x14ac:dyDescent="0.3">
      <c r="A249" s="7">
        <v>245</v>
      </c>
      <c r="B249" s="2" t="s">
        <v>474</v>
      </c>
      <c r="C249" s="3" t="s">
        <v>475</v>
      </c>
      <c r="D249" s="3">
        <v>87141090</v>
      </c>
      <c r="E249" s="4">
        <v>50</v>
      </c>
      <c r="F249" s="5">
        <v>0.85</v>
      </c>
      <c r="G249" s="5">
        <f t="shared" si="3"/>
        <v>42.5</v>
      </c>
    </row>
    <row r="250" spans="1:7" x14ac:dyDescent="0.3">
      <c r="A250" s="7">
        <v>246</v>
      </c>
      <c r="B250" s="2" t="s">
        <v>476</v>
      </c>
      <c r="C250" s="3" t="s">
        <v>477</v>
      </c>
      <c r="D250" s="3">
        <v>87141090</v>
      </c>
      <c r="E250" s="4">
        <v>40</v>
      </c>
      <c r="F250" s="5">
        <v>0.72</v>
      </c>
      <c r="G250" s="5">
        <f t="shared" si="3"/>
        <v>28.799999999999997</v>
      </c>
    </row>
    <row r="251" spans="1:7" x14ac:dyDescent="0.3">
      <c r="A251" s="7">
        <v>247</v>
      </c>
      <c r="B251" s="7">
        <v>36311014</v>
      </c>
      <c r="C251" s="3" t="s">
        <v>478</v>
      </c>
      <c r="D251" s="3">
        <v>87141090</v>
      </c>
      <c r="E251" s="4">
        <v>150</v>
      </c>
      <c r="F251" s="5">
        <v>0.4</v>
      </c>
      <c r="G251" s="5">
        <f t="shared" si="3"/>
        <v>60</v>
      </c>
    </row>
    <row r="252" spans="1:7" x14ac:dyDescent="0.3">
      <c r="A252" s="7">
        <v>248</v>
      </c>
      <c r="B252" s="2" t="s">
        <v>479</v>
      </c>
      <c r="C252" s="3" t="s">
        <v>480</v>
      </c>
      <c r="D252" s="3">
        <v>87141090</v>
      </c>
      <c r="E252" s="4">
        <v>30</v>
      </c>
      <c r="F252" s="5">
        <v>0.37</v>
      </c>
      <c r="G252" s="5">
        <f t="shared" si="3"/>
        <v>11.1</v>
      </c>
    </row>
    <row r="253" spans="1:7" x14ac:dyDescent="0.3">
      <c r="A253" s="7">
        <v>249</v>
      </c>
      <c r="B253" s="2" t="s">
        <v>481</v>
      </c>
      <c r="C253" s="3" t="s">
        <v>482</v>
      </c>
      <c r="D253" s="3">
        <v>87141090</v>
      </c>
      <c r="E253" s="4">
        <v>100</v>
      </c>
      <c r="F253" s="5">
        <v>2.46</v>
      </c>
      <c r="G253" s="5">
        <f t="shared" si="3"/>
        <v>246</v>
      </c>
    </row>
    <row r="254" spans="1:7" x14ac:dyDescent="0.3">
      <c r="A254" s="7">
        <v>250</v>
      </c>
      <c r="B254" s="2" t="s">
        <v>483</v>
      </c>
      <c r="C254" s="3" t="s">
        <v>484</v>
      </c>
      <c r="D254" s="3">
        <v>87141090</v>
      </c>
      <c r="E254" s="4">
        <v>150</v>
      </c>
      <c r="F254" s="5">
        <v>2.84</v>
      </c>
      <c r="G254" s="5">
        <f t="shared" si="3"/>
        <v>426</v>
      </c>
    </row>
    <row r="255" spans="1:7" x14ac:dyDescent="0.3">
      <c r="A255" s="7">
        <v>251</v>
      </c>
      <c r="B255" s="2" t="s">
        <v>485</v>
      </c>
      <c r="C255" s="3" t="s">
        <v>486</v>
      </c>
      <c r="D255" s="3">
        <v>87141090</v>
      </c>
      <c r="E255" s="4">
        <v>200</v>
      </c>
      <c r="F255" s="5">
        <v>2.39</v>
      </c>
      <c r="G255" s="5">
        <f t="shared" si="3"/>
        <v>478</v>
      </c>
    </row>
    <row r="256" spans="1:7" x14ac:dyDescent="0.3">
      <c r="A256" s="7">
        <v>252</v>
      </c>
      <c r="B256" s="2" t="s">
        <v>487</v>
      </c>
      <c r="C256" s="3" t="s">
        <v>488</v>
      </c>
      <c r="D256" s="3">
        <v>87141090</v>
      </c>
      <c r="E256" s="4">
        <v>60</v>
      </c>
      <c r="F256" s="5">
        <v>2.71</v>
      </c>
      <c r="G256" s="5">
        <f t="shared" si="3"/>
        <v>162.6</v>
      </c>
    </row>
    <row r="257" spans="1:7" x14ac:dyDescent="0.3">
      <c r="A257" s="7">
        <v>253</v>
      </c>
      <c r="B257" s="2" t="s">
        <v>489</v>
      </c>
      <c r="C257" s="3" t="s">
        <v>490</v>
      </c>
      <c r="D257" s="3">
        <v>87141090</v>
      </c>
      <c r="E257" s="4">
        <v>120</v>
      </c>
      <c r="F257" s="5">
        <v>5.33</v>
      </c>
      <c r="G257" s="5">
        <f t="shared" si="3"/>
        <v>639.6</v>
      </c>
    </row>
    <row r="258" spans="1:7" x14ac:dyDescent="0.3">
      <c r="A258" s="7">
        <v>254</v>
      </c>
      <c r="B258" s="2" t="s">
        <v>491</v>
      </c>
      <c r="C258" s="3" t="s">
        <v>492</v>
      </c>
      <c r="D258" s="3">
        <v>87141090</v>
      </c>
      <c r="E258" s="4">
        <v>600</v>
      </c>
      <c r="F258" s="5">
        <v>0.7</v>
      </c>
      <c r="G258" s="5">
        <f t="shared" si="3"/>
        <v>420</v>
      </c>
    </row>
    <row r="259" spans="1:7" x14ac:dyDescent="0.3">
      <c r="A259" s="7">
        <v>255</v>
      </c>
      <c r="B259" s="7">
        <v>36311028</v>
      </c>
      <c r="C259" s="3" t="s">
        <v>493</v>
      </c>
      <c r="D259" s="3">
        <v>84099190</v>
      </c>
      <c r="E259" s="4">
        <v>300</v>
      </c>
      <c r="F259" s="5">
        <v>2.2599999999999998</v>
      </c>
      <c r="G259" s="5">
        <f t="shared" si="3"/>
        <v>677.99999999999989</v>
      </c>
    </row>
    <row r="260" spans="1:7" x14ac:dyDescent="0.3">
      <c r="A260" s="7">
        <v>256</v>
      </c>
      <c r="B260" s="2" t="s">
        <v>494</v>
      </c>
      <c r="C260" s="3" t="s">
        <v>495</v>
      </c>
      <c r="D260" s="3">
        <v>84099190</v>
      </c>
      <c r="E260" s="4">
        <v>300</v>
      </c>
      <c r="F260" s="5">
        <v>2.4900000000000002</v>
      </c>
      <c r="G260" s="5">
        <f t="shared" si="3"/>
        <v>747.00000000000011</v>
      </c>
    </row>
    <row r="261" spans="1:7" x14ac:dyDescent="0.3">
      <c r="A261" s="7">
        <v>257</v>
      </c>
      <c r="B261" s="2" t="s">
        <v>496</v>
      </c>
      <c r="C261" s="3" t="s">
        <v>497</v>
      </c>
      <c r="D261" s="3">
        <v>84099190</v>
      </c>
      <c r="E261" s="4">
        <v>100</v>
      </c>
      <c r="F261" s="5">
        <v>2.94</v>
      </c>
      <c r="G261" s="5">
        <f t="shared" si="3"/>
        <v>294</v>
      </c>
    </row>
    <row r="262" spans="1:7" x14ac:dyDescent="0.3">
      <c r="A262" s="7">
        <v>258</v>
      </c>
      <c r="B262" s="2" t="s">
        <v>498</v>
      </c>
      <c r="C262" s="3" t="s">
        <v>499</v>
      </c>
      <c r="D262" s="3">
        <v>84099190</v>
      </c>
      <c r="E262" s="4">
        <v>20</v>
      </c>
      <c r="F262" s="5">
        <v>2.62</v>
      </c>
      <c r="G262" s="5">
        <f t="shared" ref="G262:G325" si="4">F262*E262</f>
        <v>52.400000000000006</v>
      </c>
    </row>
    <row r="263" spans="1:7" x14ac:dyDescent="0.3">
      <c r="A263" s="7">
        <v>259</v>
      </c>
      <c r="B263" s="2" t="s">
        <v>500</v>
      </c>
      <c r="C263" s="3" t="s">
        <v>501</v>
      </c>
      <c r="D263" s="3">
        <v>87141090</v>
      </c>
      <c r="E263" s="4">
        <v>60</v>
      </c>
      <c r="F263" s="5">
        <v>2.14</v>
      </c>
      <c r="G263" s="5">
        <f t="shared" si="4"/>
        <v>128.4</v>
      </c>
    </row>
    <row r="264" spans="1:7" x14ac:dyDescent="0.3">
      <c r="A264" s="7">
        <v>260</v>
      </c>
      <c r="B264" s="2" t="s">
        <v>502</v>
      </c>
      <c r="C264" s="3" t="s">
        <v>503</v>
      </c>
      <c r="D264" s="3">
        <v>87141090</v>
      </c>
      <c r="E264" s="4">
        <v>150</v>
      </c>
      <c r="F264" s="5">
        <v>2.11</v>
      </c>
      <c r="G264" s="5">
        <f t="shared" si="4"/>
        <v>316.5</v>
      </c>
    </row>
    <row r="265" spans="1:7" x14ac:dyDescent="0.3">
      <c r="A265" s="7">
        <v>261</v>
      </c>
      <c r="B265" s="2" t="s">
        <v>504</v>
      </c>
      <c r="C265" s="3" t="s">
        <v>505</v>
      </c>
      <c r="D265" s="3">
        <v>87141090</v>
      </c>
      <c r="E265" s="4">
        <v>60</v>
      </c>
      <c r="F265" s="5">
        <v>2.2400000000000002</v>
      </c>
      <c r="G265" s="5">
        <f t="shared" si="4"/>
        <v>134.4</v>
      </c>
    </row>
    <row r="266" spans="1:7" x14ac:dyDescent="0.3">
      <c r="A266" s="7">
        <v>262</v>
      </c>
      <c r="B266" s="2" t="s">
        <v>506</v>
      </c>
      <c r="C266" s="3" t="s">
        <v>507</v>
      </c>
      <c r="D266" s="3">
        <v>87141090</v>
      </c>
      <c r="E266" s="4">
        <v>60</v>
      </c>
      <c r="F266" s="5">
        <v>1.82</v>
      </c>
      <c r="G266" s="5">
        <f t="shared" si="4"/>
        <v>109.2</v>
      </c>
    </row>
    <row r="267" spans="1:7" x14ac:dyDescent="0.3">
      <c r="A267" s="7">
        <v>263</v>
      </c>
      <c r="B267" s="2" t="s">
        <v>508</v>
      </c>
      <c r="C267" s="3" t="s">
        <v>509</v>
      </c>
      <c r="D267" s="3">
        <v>87141090</v>
      </c>
      <c r="E267" s="4">
        <v>20</v>
      </c>
      <c r="F267" s="5">
        <v>1.24</v>
      </c>
      <c r="G267" s="5">
        <f t="shared" si="4"/>
        <v>24.8</v>
      </c>
    </row>
    <row r="268" spans="1:7" x14ac:dyDescent="0.3">
      <c r="A268" s="7">
        <v>264</v>
      </c>
      <c r="B268" s="2" t="s">
        <v>510</v>
      </c>
      <c r="C268" s="3" t="s">
        <v>511</v>
      </c>
      <c r="D268" s="3">
        <v>87141090</v>
      </c>
      <c r="E268" s="4">
        <v>40</v>
      </c>
      <c r="F268" s="5">
        <v>0.61</v>
      </c>
      <c r="G268" s="5">
        <f t="shared" si="4"/>
        <v>24.4</v>
      </c>
    </row>
    <row r="269" spans="1:7" x14ac:dyDescent="0.3">
      <c r="A269" s="7">
        <v>265</v>
      </c>
      <c r="B269" s="2" t="s">
        <v>512</v>
      </c>
      <c r="C269" s="3" t="s">
        <v>513</v>
      </c>
      <c r="D269" s="3">
        <v>87141090</v>
      </c>
      <c r="E269" s="4">
        <v>60</v>
      </c>
      <c r="F269" s="5">
        <v>1.29</v>
      </c>
      <c r="G269" s="5">
        <f t="shared" si="4"/>
        <v>77.400000000000006</v>
      </c>
    </row>
    <row r="270" spans="1:7" x14ac:dyDescent="0.3">
      <c r="A270" s="7">
        <v>266</v>
      </c>
      <c r="B270" s="7">
        <v>39099906</v>
      </c>
      <c r="C270" s="3" t="s">
        <v>514</v>
      </c>
      <c r="D270" s="3">
        <v>87141090</v>
      </c>
      <c r="E270" s="4">
        <v>300</v>
      </c>
      <c r="F270" s="5">
        <v>0.02</v>
      </c>
      <c r="G270" s="5">
        <f t="shared" si="4"/>
        <v>6</v>
      </c>
    </row>
    <row r="271" spans="1:7" x14ac:dyDescent="0.3">
      <c r="A271" s="7">
        <v>267</v>
      </c>
      <c r="B271" s="2" t="s">
        <v>515</v>
      </c>
      <c r="C271" s="3" t="s">
        <v>516</v>
      </c>
      <c r="D271" s="3">
        <v>87141090</v>
      </c>
      <c r="E271" s="4">
        <v>20</v>
      </c>
      <c r="F271" s="5">
        <v>7.37</v>
      </c>
      <c r="G271" s="5">
        <f t="shared" si="4"/>
        <v>147.4</v>
      </c>
    </row>
    <row r="272" spans="1:7" x14ac:dyDescent="0.3">
      <c r="A272" s="7">
        <v>268</v>
      </c>
      <c r="B272" s="2" t="s">
        <v>517</v>
      </c>
      <c r="C272" s="3" t="s">
        <v>518</v>
      </c>
      <c r="D272" s="3">
        <v>87141090</v>
      </c>
      <c r="E272" s="4">
        <v>60</v>
      </c>
      <c r="F272" s="5">
        <v>5.71</v>
      </c>
      <c r="G272" s="5">
        <f t="shared" si="4"/>
        <v>342.6</v>
      </c>
    </row>
    <row r="273" spans="1:7" x14ac:dyDescent="0.3">
      <c r="A273" s="7">
        <v>269</v>
      </c>
      <c r="B273" s="2" t="s">
        <v>519</v>
      </c>
      <c r="C273" s="3" t="s">
        <v>520</v>
      </c>
      <c r="D273" s="3">
        <v>84099190</v>
      </c>
      <c r="E273" s="4">
        <v>20</v>
      </c>
      <c r="F273" s="5">
        <v>7.96</v>
      </c>
      <c r="G273" s="5">
        <f t="shared" si="4"/>
        <v>159.19999999999999</v>
      </c>
    </row>
    <row r="274" spans="1:7" x14ac:dyDescent="0.3">
      <c r="A274" s="7">
        <v>270</v>
      </c>
      <c r="B274" s="2" t="s">
        <v>521</v>
      </c>
      <c r="C274" s="3" t="s">
        <v>522</v>
      </c>
      <c r="D274" s="3">
        <v>87141090</v>
      </c>
      <c r="E274" s="4">
        <v>20</v>
      </c>
      <c r="F274" s="5">
        <v>1.19</v>
      </c>
      <c r="G274" s="5">
        <f t="shared" si="4"/>
        <v>23.799999999999997</v>
      </c>
    </row>
    <row r="275" spans="1:7" x14ac:dyDescent="0.3">
      <c r="A275" s="7">
        <v>271</v>
      </c>
      <c r="B275" s="7">
        <v>30101096</v>
      </c>
      <c r="C275" s="3" t="s">
        <v>523</v>
      </c>
      <c r="D275" s="3">
        <v>87141090</v>
      </c>
      <c r="E275" s="4">
        <v>500</v>
      </c>
      <c r="F275" s="5">
        <v>0.26</v>
      </c>
      <c r="G275" s="5">
        <f t="shared" si="4"/>
        <v>130</v>
      </c>
    </row>
    <row r="276" spans="1:7" x14ac:dyDescent="0.3">
      <c r="A276" s="7">
        <v>272</v>
      </c>
      <c r="B276" s="2" t="s">
        <v>524</v>
      </c>
      <c r="C276" s="3" t="s">
        <v>523</v>
      </c>
      <c r="D276" s="3">
        <v>87141090</v>
      </c>
      <c r="E276" s="4">
        <v>120</v>
      </c>
      <c r="F276" s="5">
        <v>0</v>
      </c>
      <c r="G276" s="5">
        <f t="shared" si="4"/>
        <v>0</v>
      </c>
    </row>
    <row r="277" spans="1:7" x14ac:dyDescent="0.3">
      <c r="A277" s="7">
        <v>273</v>
      </c>
      <c r="B277" s="2" t="s">
        <v>525</v>
      </c>
      <c r="C277" s="3" t="s">
        <v>523</v>
      </c>
      <c r="D277" s="3">
        <v>87141090</v>
      </c>
      <c r="E277" s="4">
        <v>320</v>
      </c>
      <c r="F277" s="5">
        <v>0.39</v>
      </c>
      <c r="G277" s="5">
        <f t="shared" si="4"/>
        <v>124.80000000000001</v>
      </c>
    </row>
    <row r="278" spans="1:7" x14ac:dyDescent="0.3">
      <c r="A278" s="7">
        <v>274</v>
      </c>
      <c r="B278" s="2" t="s">
        <v>526</v>
      </c>
      <c r="C278" s="3" t="s">
        <v>527</v>
      </c>
      <c r="D278" s="3">
        <v>87141090</v>
      </c>
      <c r="E278" s="4">
        <v>200</v>
      </c>
      <c r="F278" s="5">
        <v>0.3</v>
      </c>
      <c r="G278" s="5">
        <f t="shared" si="4"/>
        <v>60</v>
      </c>
    </row>
    <row r="279" spans="1:7" x14ac:dyDescent="0.3">
      <c r="A279" s="7">
        <v>275</v>
      </c>
      <c r="B279" s="2" t="s">
        <v>528</v>
      </c>
      <c r="C279" s="3" t="s">
        <v>529</v>
      </c>
      <c r="D279" s="3">
        <v>87141090</v>
      </c>
      <c r="E279" s="4">
        <v>400</v>
      </c>
      <c r="F279" s="5">
        <v>7.0000000000000007E-2</v>
      </c>
      <c r="G279" s="5">
        <f t="shared" si="4"/>
        <v>28.000000000000004</v>
      </c>
    </row>
    <row r="280" spans="1:7" x14ac:dyDescent="0.3">
      <c r="A280" s="7">
        <v>276</v>
      </c>
      <c r="B280" s="2" t="s">
        <v>530</v>
      </c>
      <c r="C280" s="3" t="s">
        <v>531</v>
      </c>
      <c r="D280" s="3">
        <v>87141090</v>
      </c>
      <c r="E280" s="4">
        <v>80</v>
      </c>
      <c r="F280" s="5">
        <v>6.36</v>
      </c>
      <c r="G280" s="5">
        <f t="shared" si="4"/>
        <v>508.8</v>
      </c>
    </row>
    <row r="281" spans="1:7" x14ac:dyDescent="0.3">
      <c r="A281" s="7">
        <v>277</v>
      </c>
      <c r="B281" s="2" t="s">
        <v>532</v>
      </c>
      <c r="C281" s="3" t="s">
        <v>533</v>
      </c>
      <c r="D281" s="3">
        <v>87141090</v>
      </c>
      <c r="E281" s="4">
        <v>120</v>
      </c>
      <c r="F281" s="5">
        <v>1.29</v>
      </c>
      <c r="G281" s="5">
        <f t="shared" si="4"/>
        <v>154.80000000000001</v>
      </c>
    </row>
    <row r="282" spans="1:7" x14ac:dyDescent="0.3">
      <c r="A282" s="7">
        <v>278</v>
      </c>
      <c r="B282" s="2" t="s">
        <v>534</v>
      </c>
      <c r="C282" s="3" t="s">
        <v>535</v>
      </c>
      <c r="D282" s="3">
        <v>87141090</v>
      </c>
      <c r="E282" s="4">
        <v>50</v>
      </c>
      <c r="F282" s="5">
        <v>0.32</v>
      </c>
      <c r="G282" s="5">
        <f t="shared" si="4"/>
        <v>16</v>
      </c>
    </row>
    <row r="283" spans="1:7" x14ac:dyDescent="0.3">
      <c r="A283" s="7">
        <v>279</v>
      </c>
      <c r="B283" s="2" t="s">
        <v>536</v>
      </c>
      <c r="C283" s="3" t="s">
        <v>537</v>
      </c>
      <c r="D283" s="3">
        <v>84133020</v>
      </c>
      <c r="E283" s="4">
        <v>300</v>
      </c>
      <c r="F283" s="5">
        <v>1.38</v>
      </c>
      <c r="G283" s="5">
        <f t="shared" si="4"/>
        <v>413.99999999999994</v>
      </c>
    </row>
    <row r="284" spans="1:7" x14ac:dyDescent="0.3">
      <c r="A284" s="7">
        <v>280</v>
      </c>
      <c r="B284" s="2" t="s">
        <v>538</v>
      </c>
      <c r="C284" s="3" t="s">
        <v>539</v>
      </c>
      <c r="D284" s="3">
        <v>87141090</v>
      </c>
      <c r="E284" s="4">
        <v>100</v>
      </c>
      <c r="F284" s="5">
        <v>0</v>
      </c>
      <c r="G284" s="5">
        <f t="shared" si="4"/>
        <v>0</v>
      </c>
    </row>
    <row r="285" spans="1:7" x14ac:dyDescent="0.3">
      <c r="A285" s="7">
        <v>281</v>
      </c>
      <c r="B285" s="2" t="s">
        <v>540</v>
      </c>
      <c r="C285" s="3" t="s">
        <v>541</v>
      </c>
      <c r="D285" s="3">
        <v>87141090</v>
      </c>
      <c r="E285" s="4">
        <v>24</v>
      </c>
      <c r="F285" s="5">
        <v>0.73</v>
      </c>
      <c r="G285" s="5">
        <f t="shared" si="4"/>
        <v>17.52</v>
      </c>
    </row>
    <row r="286" spans="1:7" x14ac:dyDescent="0.3">
      <c r="A286" s="7">
        <v>282</v>
      </c>
      <c r="B286" s="7">
        <v>39204021</v>
      </c>
      <c r="C286" s="3" t="s">
        <v>542</v>
      </c>
      <c r="D286" s="3">
        <v>87141090</v>
      </c>
      <c r="E286" s="4">
        <v>150</v>
      </c>
      <c r="F286" s="5">
        <v>0.2</v>
      </c>
      <c r="G286" s="5">
        <f t="shared" si="4"/>
        <v>30</v>
      </c>
    </row>
    <row r="287" spans="1:7" x14ac:dyDescent="0.3">
      <c r="A287" s="7">
        <v>283</v>
      </c>
      <c r="B287" s="2" t="s">
        <v>543</v>
      </c>
      <c r="C287" s="3" t="s">
        <v>544</v>
      </c>
      <c r="D287" s="3">
        <v>84099190</v>
      </c>
      <c r="E287" s="4">
        <v>60</v>
      </c>
      <c r="F287" s="5">
        <v>2.85</v>
      </c>
      <c r="G287" s="5">
        <f t="shared" si="4"/>
        <v>171</v>
      </c>
    </row>
    <row r="288" spans="1:7" x14ac:dyDescent="0.3">
      <c r="A288" s="7">
        <v>284</v>
      </c>
      <c r="B288" s="2" t="s">
        <v>545</v>
      </c>
      <c r="C288" s="3" t="s">
        <v>546</v>
      </c>
      <c r="D288" s="3">
        <v>87141090</v>
      </c>
      <c r="E288" s="4">
        <v>100</v>
      </c>
      <c r="F288" s="5">
        <v>0.5</v>
      </c>
      <c r="G288" s="5">
        <f t="shared" si="4"/>
        <v>50</v>
      </c>
    </row>
    <row r="289" spans="1:7" x14ac:dyDescent="0.3">
      <c r="A289" s="7">
        <v>285</v>
      </c>
      <c r="B289" s="2" t="s">
        <v>547</v>
      </c>
      <c r="C289" s="3" t="s">
        <v>548</v>
      </c>
      <c r="D289" s="3">
        <v>87141090</v>
      </c>
      <c r="E289" s="4">
        <v>900</v>
      </c>
      <c r="F289" s="5">
        <v>0.45</v>
      </c>
      <c r="G289" s="5">
        <f t="shared" si="4"/>
        <v>405</v>
      </c>
    </row>
    <row r="290" spans="1:7" x14ac:dyDescent="0.3">
      <c r="A290" s="7">
        <v>286</v>
      </c>
      <c r="B290" s="7">
        <v>31101124</v>
      </c>
      <c r="C290" s="3" t="s">
        <v>549</v>
      </c>
      <c r="D290" s="3">
        <v>87141090</v>
      </c>
      <c r="E290" s="4">
        <v>30</v>
      </c>
      <c r="F290" s="5">
        <v>1.33</v>
      </c>
      <c r="G290" s="5">
        <f t="shared" si="4"/>
        <v>39.900000000000006</v>
      </c>
    </row>
    <row r="291" spans="1:7" x14ac:dyDescent="0.3">
      <c r="A291" s="7">
        <v>287</v>
      </c>
      <c r="B291" s="2" t="s">
        <v>550</v>
      </c>
      <c r="C291" s="3" t="s">
        <v>551</v>
      </c>
      <c r="D291" s="3">
        <v>87141090</v>
      </c>
      <c r="E291" s="4">
        <v>50</v>
      </c>
      <c r="F291" s="5">
        <v>1.43</v>
      </c>
      <c r="G291" s="5">
        <f t="shared" si="4"/>
        <v>71.5</v>
      </c>
    </row>
    <row r="292" spans="1:7" x14ac:dyDescent="0.3">
      <c r="A292" s="7">
        <v>288</v>
      </c>
      <c r="B292" s="2" t="s">
        <v>552</v>
      </c>
      <c r="C292" s="3" t="s">
        <v>553</v>
      </c>
      <c r="D292" s="3">
        <v>87141090</v>
      </c>
      <c r="E292" s="4">
        <v>20</v>
      </c>
      <c r="F292" s="5">
        <v>2.94</v>
      </c>
      <c r="G292" s="5">
        <f t="shared" si="4"/>
        <v>58.8</v>
      </c>
    </row>
    <row r="293" spans="1:7" x14ac:dyDescent="0.3">
      <c r="A293" s="7">
        <v>289</v>
      </c>
      <c r="B293" s="2" t="s">
        <v>554</v>
      </c>
      <c r="C293" s="3" t="s">
        <v>555</v>
      </c>
      <c r="D293" s="3">
        <v>87141090</v>
      </c>
      <c r="E293" s="4">
        <v>200</v>
      </c>
      <c r="F293" s="5">
        <v>1.17</v>
      </c>
      <c r="G293" s="5">
        <f t="shared" si="4"/>
        <v>234</v>
      </c>
    </row>
    <row r="294" spans="1:7" x14ac:dyDescent="0.3">
      <c r="A294" s="7">
        <v>290</v>
      </c>
      <c r="B294" s="7">
        <v>30151116</v>
      </c>
      <c r="C294" s="3" t="s">
        <v>556</v>
      </c>
      <c r="D294" s="3">
        <v>87141090</v>
      </c>
      <c r="E294" s="4">
        <v>30</v>
      </c>
      <c r="F294" s="5">
        <v>0.11</v>
      </c>
      <c r="G294" s="5">
        <f t="shared" si="4"/>
        <v>3.3</v>
      </c>
    </row>
    <row r="295" spans="1:7" x14ac:dyDescent="0.3">
      <c r="A295" s="7">
        <v>291</v>
      </c>
      <c r="B295" s="2" t="s">
        <v>557</v>
      </c>
      <c r="C295" s="3" t="s">
        <v>240</v>
      </c>
      <c r="D295" s="3">
        <v>87141090</v>
      </c>
      <c r="E295" s="4">
        <v>120</v>
      </c>
      <c r="F295" s="5">
        <v>1.49</v>
      </c>
      <c r="G295" s="5">
        <f t="shared" si="4"/>
        <v>178.8</v>
      </c>
    </row>
    <row r="296" spans="1:7" x14ac:dyDescent="0.3">
      <c r="A296" s="7">
        <v>292</v>
      </c>
      <c r="B296" s="2" t="s">
        <v>558</v>
      </c>
      <c r="C296" s="3" t="s">
        <v>240</v>
      </c>
      <c r="D296" s="3">
        <v>87141090</v>
      </c>
      <c r="E296" s="4">
        <v>60</v>
      </c>
      <c r="F296" s="5">
        <v>1.1399999999999999</v>
      </c>
      <c r="G296" s="5">
        <f t="shared" si="4"/>
        <v>68.399999999999991</v>
      </c>
    </row>
    <row r="297" spans="1:7" x14ac:dyDescent="0.3">
      <c r="A297" s="7">
        <v>293</v>
      </c>
      <c r="B297" s="2" t="s">
        <v>559</v>
      </c>
      <c r="C297" s="3" t="s">
        <v>560</v>
      </c>
      <c r="D297" s="3">
        <v>87141090</v>
      </c>
      <c r="E297" s="4">
        <v>120</v>
      </c>
      <c r="F297" s="5">
        <v>1</v>
      </c>
      <c r="G297" s="5">
        <f t="shared" si="4"/>
        <v>120</v>
      </c>
    </row>
    <row r="298" spans="1:7" x14ac:dyDescent="0.3">
      <c r="A298" s="7">
        <v>294</v>
      </c>
      <c r="B298" s="2" t="s">
        <v>561</v>
      </c>
      <c r="C298" s="3" t="s">
        <v>562</v>
      </c>
      <c r="D298" s="3">
        <v>87141090</v>
      </c>
      <c r="E298" s="4">
        <v>10</v>
      </c>
      <c r="F298" s="5">
        <v>3.08</v>
      </c>
      <c r="G298" s="5">
        <f t="shared" si="4"/>
        <v>30.8</v>
      </c>
    </row>
    <row r="299" spans="1:7" x14ac:dyDescent="0.3">
      <c r="A299" s="7">
        <v>295</v>
      </c>
      <c r="B299" s="2" t="s">
        <v>563</v>
      </c>
      <c r="C299" s="3" t="s">
        <v>564</v>
      </c>
      <c r="D299" s="3">
        <v>87141090</v>
      </c>
      <c r="E299" s="4">
        <v>36</v>
      </c>
      <c r="F299" s="5">
        <v>3.58</v>
      </c>
      <c r="G299" s="5">
        <f t="shared" si="4"/>
        <v>128.88</v>
      </c>
    </row>
    <row r="300" spans="1:7" x14ac:dyDescent="0.3">
      <c r="A300" s="7">
        <v>296</v>
      </c>
      <c r="B300" s="2" t="s">
        <v>565</v>
      </c>
      <c r="C300" s="3" t="s">
        <v>566</v>
      </c>
      <c r="D300" s="3">
        <v>87141090</v>
      </c>
      <c r="E300" s="4">
        <v>10</v>
      </c>
      <c r="F300" s="5">
        <v>10.72</v>
      </c>
      <c r="G300" s="5">
        <f t="shared" si="4"/>
        <v>107.2</v>
      </c>
    </row>
    <row r="301" spans="1:7" x14ac:dyDescent="0.3">
      <c r="A301" s="7">
        <v>297</v>
      </c>
      <c r="B301" s="2" t="s">
        <v>567</v>
      </c>
      <c r="C301" s="3" t="s">
        <v>568</v>
      </c>
      <c r="D301" s="3">
        <v>84099190</v>
      </c>
      <c r="E301" s="4">
        <v>100</v>
      </c>
      <c r="F301" s="5">
        <v>1.45</v>
      </c>
      <c r="G301" s="5">
        <f t="shared" si="4"/>
        <v>145</v>
      </c>
    </row>
    <row r="302" spans="1:7" x14ac:dyDescent="0.3">
      <c r="A302" s="7">
        <v>298</v>
      </c>
      <c r="B302" s="2" t="s">
        <v>569</v>
      </c>
      <c r="C302" s="3" t="s">
        <v>570</v>
      </c>
      <c r="D302" s="3">
        <v>84099190</v>
      </c>
      <c r="E302" s="4">
        <v>250</v>
      </c>
      <c r="F302" s="5">
        <v>1.38</v>
      </c>
      <c r="G302" s="5">
        <f t="shared" si="4"/>
        <v>345</v>
      </c>
    </row>
    <row r="303" spans="1:7" x14ac:dyDescent="0.3">
      <c r="A303" s="7">
        <v>299</v>
      </c>
      <c r="B303" s="2" t="s">
        <v>571</v>
      </c>
      <c r="C303" s="3" t="s">
        <v>572</v>
      </c>
      <c r="D303" s="3">
        <v>87141090</v>
      </c>
      <c r="E303" s="4">
        <v>300</v>
      </c>
      <c r="F303" s="5">
        <v>0.18</v>
      </c>
      <c r="G303" s="5">
        <f t="shared" si="4"/>
        <v>54</v>
      </c>
    </row>
    <row r="304" spans="1:7" x14ac:dyDescent="0.3">
      <c r="A304" s="7">
        <v>300</v>
      </c>
      <c r="B304" s="2" t="s">
        <v>573</v>
      </c>
      <c r="C304" s="3" t="s">
        <v>574</v>
      </c>
      <c r="D304" s="3">
        <v>84099190</v>
      </c>
      <c r="E304" s="4">
        <v>30</v>
      </c>
      <c r="F304" s="5">
        <v>0.82</v>
      </c>
      <c r="G304" s="5">
        <f t="shared" si="4"/>
        <v>24.599999999999998</v>
      </c>
    </row>
    <row r="305" spans="1:7" x14ac:dyDescent="0.3">
      <c r="A305" s="7">
        <v>301</v>
      </c>
      <c r="B305" s="2" t="s">
        <v>575</v>
      </c>
      <c r="C305" s="3" t="s">
        <v>62</v>
      </c>
      <c r="D305" s="3">
        <v>84099190</v>
      </c>
      <c r="E305" s="4">
        <v>180</v>
      </c>
      <c r="F305" s="5">
        <v>1.52</v>
      </c>
      <c r="G305" s="5">
        <f t="shared" si="4"/>
        <v>273.60000000000002</v>
      </c>
    </row>
    <row r="306" spans="1:7" x14ac:dyDescent="0.3">
      <c r="A306" s="7">
        <v>302</v>
      </c>
      <c r="B306" s="2" t="s">
        <v>576</v>
      </c>
      <c r="C306" s="3" t="s">
        <v>577</v>
      </c>
      <c r="D306" s="3">
        <v>84099190</v>
      </c>
      <c r="E306" s="4">
        <v>180</v>
      </c>
      <c r="F306" s="5">
        <v>1.1299999999999999</v>
      </c>
      <c r="G306" s="5">
        <f t="shared" si="4"/>
        <v>203.39999999999998</v>
      </c>
    </row>
    <row r="307" spans="1:7" x14ac:dyDescent="0.3">
      <c r="A307" s="7">
        <v>303</v>
      </c>
      <c r="B307" s="2" t="s">
        <v>578</v>
      </c>
      <c r="C307" s="3" t="s">
        <v>577</v>
      </c>
      <c r="D307" s="3">
        <v>84099190</v>
      </c>
      <c r="E307" s="4">
        <v>100</v>
      </c>
      <c r="F307" s="5">
        <v>1.24</v>
      </c>
      <c r="G307" s="5">
        <f t="shared" si="4"/>
        <v>124</v>
      </c>
    </row>
    <row r="308" spans="1:7" x14ac:dyDescent="0.3">
      <c r="A308" s="7">
        <v>304</v>
      </c>
      <c r="B308" s="2" t="s">
        <v>579</v>
      </c>
      <c r="C308" s="3" t="s">
        <v>580</v>
      </c>
      <c r="D308" s="3">
        <v>84099190</v>
      </c>
      <c r="E308" s="4">
        <v>42</v>
      </c>
      <c r="F308" s="5">
        <v>1.17</v>
      </c>
      <c r="G308" s="5">
        <f t="shared" si="4"/>
        <v>49.14</v>
      </c>
    </row>
    <row r="309" spans="1:7" x14ac:dyDescent="0.3">
      <c r="A309" s="7">
        <v>305</v>
      </c>
      <c r="B309" s="2" t="s">
        <v>581</v>
      </c>
      <c r="C309" s="3" t="s">
        <v>582</v>
      </c>
      <c r="D309" s="3">
        <v>84099190</v>
      </c>
      <c r="E309" s="4">
        <v>300</v>
      </c>
      <c r="F309" s="5">
        <v>2.58</v>
      </c>
      <c r="G309" s="5">
        <f t="shared" si="4"/>
        <v>774</v>
      </c>
    </row>
    <row r="310" spans="1:7" x14ac:dyDescent="0.3">
      <c r="A310" s="7">
        <v>306</v>
      </c>
      <c r="B310" s="2" t="s">
        <v>583</v>
      </c>
      <c r="C310" s="3" t="s">
        <v>584</v>
      </c>
      <c r="D310" s="3">
        <v>84099190</v>
      </c>
      <c r="E310" s="4">
        <v>120</v>
      </c>
      <c r="F310" s="5">
        <v>2.35</v>
      </c>
      <c r="G310" s="5">
        <f t="shared" si="4"/>
        <v>282</v>
      </c>
    </row>
    <row r="311" spans="1:7" x14ac:dyDescent="0.3">
      <c r="A311" s="7">
        <v>307</v>
      </c>
      <c r="B311" s="2" t="s">
        <v>585</v>
      </c>
      <c r="C311" s="3" t="s">
        <v>586</v>
      </c>
      <c r="D311" s="3">
        <v>87141090</v>
      </c>
      <c r="E311" s="4">
        <v>24</v>
      </c>
      <c r="F311" s="5">
        <v>1.35</v>
      </c>
      <c r="G311" s="5">
        <f t="shared" si="4"/>
        <v>32.400000000000006</v>
      </c>
    </row>
    <row r="312" spans="1:7" x14ac:dyDescent="0.3">
      <c r="A312" s="7">
        <v>308</v>
      </c>
      <c r="B312" s="2" t="s">
        <v>587</v>
      </c>
      <c r="C312" s="3" t="s">
        <v>586</v>
      </c>
      <c r="D312" s="3">
        <v>87141090</v>
      </c>
      <c r="E312" s="4">
        <v>54</v>
      </c>
      <c r="F312" s="5">
        <v>1.18</v>
      </c>
      <c r="G312" s="5">
        <f t="shared" si="4"/>
        <v>63.72</v>
      </c>
    </row>
    <row r="313" spans="1:7" x14ac:dyDescent="0.3">
      <c r="A313" s="7">
        <v>309</v>
      </c>
      <c r="B313" s="2" t="s">
        <v>588</v>
      </c>
      <c r="C313" s="3" t="s">
        <v>589</v>
      </c>
      <c r="D313" s="3">
        <v>87141090</v>
      </c>
      <c r="E313" s="4">
        <v>60</v>
      </c>
      <c r="F313" s="5">
        <v>1.26</v>
      </c>
      <c r="G313" s="5">
        <f t="shared" si="4"/>
        <v>75.599999999999994</v>
      </c>
    </row>
    <row r="314" spans="1:7" x14ac:dyDescent="0.3">
      <c r="A314" s="7">
        <v>310</v>
      </c>
      <c r="B314" s="7">
        <v>39219019</v>
      </c>
      <c r="C314" s="3" t="s">
        <v>49</v>
      </c>
      <c r="D314" s="3">
        <v>40169390</v>
      </c>
      <c r="E314" s="4">
        <v>1000</v>
      </c>
      <c r="F314" s="8">
        <v>0.11</v>
      </c>
      <c r="G314" s="5">
        <f t="shared" si="4"/>
        <v>110</v>
      </c>
    </row>
    <row r="315" spans="1:7" x14ac:dyDescent="0.3">
      <c r="A315" s="7">
        <v>311</v>
      </c>
      <c r="B315" s="2" t="s">
        <v>590</v>
      </c>
      <c r="C315" s="3" t="s">
        <v>591</v>
      </c>
      <c r="D315" s="3">
        <v>40169390</v>
      </c>
      <c r="E315" s="4">
        <v>120</v>
      </c>
      <c r="F315" s="5">
        <v>1.4</v>
      </c>
      <c r="G315" s="5">
        <f t="shared" si="4"/>
        <v>168</v>
      </c>
    </row>
    <row r="316" spans="1:7" x14ac:dyDescent="0.3">
      <c r="A316" s="7">
        <v>312</v>
      </c>
      <c r="B316" s="7">
        <v>30101142</v>
      </c>
      <c r="C316" s="3" t="s">
        <v>49</v>
      </c>
      <c r="D316" s="3">
        <v>40169390</v>
      </c>
      <c r="E316" s="4">
        <v>400</v>
      </c>
      <c r="F316" s="5">
        <v>0.09</v>
      </c>
      <c r="G316" s="5">
        <f t="shared" si="4"/>
        <v>36</v>
      </c>
    </row>
    <row r="317" spans="1:7" x14ac:dyDescent="0.3">
      <c r="A317" s="7">
        <v>313</v>
      </c>
      <c r="B317" s="7">
        <v>39103519</v>
      </c>
      <c r="C317" s="3" t="s">
        <v>49</v>
      </c>
      <c r="D317" s="3">
        <v>40169390</v>
      </c>
      <c r="E317" s="4">
        <v>400</v>
      </c>
      <c r="F317" s="5">
        <v>0.26</v>
      </c>
      <c r="G317" s="5">
        <f t="shared" si="4"/>
        <v>104</v>
      </c>
    </row>
    <row r="318" spans="1:7" x14ac:dyDescent="0.3">
      <c r="A318" s="7">
        <v>314</v>
      </c>
      <c r="B318" s="7">
        <v>39104219</v>
      </c>
      <c r="C318" s="3" t="s">
        <v>49</v>
      </c>
      <c r="D318" s="3">
        <v>40169390</v>
      </c>
      <c r="E318" s="4">
        <v>100</v>
      </c>
      <c r="F318" s="5">
        <v>0.14000000000000001</v>
      </c>
      <c r="G318" s="5">
        <f t="shared" si="4"/>
        <v>14.000000000000002</v>
      </c>
    </row>
    <row r="319" spans="1:7" x14ac:dyDescent="0.3">
      <c r="A319" s="7">
        <v>315</v>
      </c>
      <c r="B319" s="7">
        <v>39104319</v>
      </c>
      <c r="C319" s="3" t="s">
        <v>49</v>
      </c>
      <c r="D319" s="3">
        <v>40169390</v>
      </c>
      <c r="E319" s="4">
        <v>300</v>
      </c>
      <c r="F319" s="5">
        <v>0.1</v>
      </c>
      <c r="G319" s="5">
        <f t="shared" si="4"/>
        <v>30</v>
      </c>
    </row>
    <row r="320" spans="1:7" x14ac:dyDescent="0.3">
      <c r="A320" s="7">
        <v>316</v>
      </c>
      <c r="B320" s="7">
        <v>39104619</v>
      </c>
      <c r="C320" s="3" t="s">
        <v>49</v>
      </c>
      <c r="D320" s="3">
        <v>40169390</v>
      </c>
      <c r="E320" s="4">
        <v>300</v>
      </c>
      <c r="F320" s="5">
        <v>0.11</v>
      </c>
      <c r="G320" s="5">
        <f t="shared" si="4"/>
        <v>33</v>
      </c>
    </row>
    <row r="321" spans="1:7" x14ac:dyDescent="0.3">
      <c r="A321" s="7">
        <v>317</v>
      </c>
      <c r="B321" s="7">
        <v>39218819</v>
      </c>
      <c r="C321" s="3" t="s">
        <v>49</v>
      </c>
      <c r="D321" s="3">
        <v>40169390</v>
      </c>
      <c r="E321" s="4">
        <v>150</v>
      </c>
      <c r="F321" s="5">
        <v>0.17</v>
      </c>
      <c r="G321" s="5">
        <f t="shared" si="4"/>
        <v>25.500000000000004</v>
      </c>
    </row>
    <row r="322" spans="1:7" x14ac:dyDescent="0.3">
      <c r="A322" s="7">
        <v>318</v>
      </c>
      <c r="B322" s="7">
        <v>39218919</v>
      </c>
      <c r="C322" s="3" t="s">
        <v>49</v>
      </c>
      <c r="D322" s="3">
        <v>40169390</v>
      </c>
      <c r="E322" s="4">
        <v>300</v>
      </c>
      <c r="F322" s="5">
        <v>0.18</v>
      </c>
      <c r="G322" s="5">
        <f t="shared" si="4"/>
        <v>54</v>
      </c>
    </row>
    <row r="323" spans="1:7" x14ac:dyDescent="0.3">
      <c r="A323" s="7">
        <v>319</v>
      </c>
      <c r="B323" s="2" t="s">
        <v>592</v>
      </c>
      <c r="C323" s="3" t="s">
        <v>49</v>
      </c>
      <c r="D323" s="3">
        <v>40169390</v>
      </c>
      <c r="E323" s="4">
        <v>100</v>
      </c>
      <c r="F323" s="5">
        <v>0.68</v>
      </c>
      <c r="G323" s="5">
        <f t="shared" si="4"/>
        <v>68</v>
      </c>
    </row>
    <row r="324" spans="1:7" x14ac:dyDescent="0.3">
      <c r="A324" s="7">
        <v>320</v>
      </c>
      <c r="B324" s="7">
        <v>39166005</v>
      </c>
      <c r="C324" s="3" t="s">
        <v>593</v>
      </c>
      <c r="D324" s="3">
        <v>73180000</v>
      </c>
      <c r="E324" s="4">
        <v>1000</v>
      </c>
      <c r="F324" s="8">
        <v>0.06</v>
      </c>
      <c r="G324" s="5">
        <f t="shared" si="4"/>
        <v>60</v>
      </c>
    </row>
    <row r="325" spans="1:7" x14ac:dyDescent="0.3">
      <c r="A325" s="7">
        <v>321</v>
      </c>
      <c r="B325" s="2" t="s">
        <v>594</v>
      </c>
      <c r="C325" s="3" t="s">
        <v>595</v>
      </c>
      <c r="D325" s="3">
        <v>73180000</v>
      </c>
      <c r="E325" s="4">
        <v>600</v>
      </c>
      <c r="F325" s="5">
        <v>0.11</v>
      </c>
      <c r="G325" s="5">
        <f t="shared" si="4"/>
        <v>66</v>
      </c>
    </row>
    <row r="326" spans="1:7" x14ac:dyDescent="0.3">
      <c r="A326" s="7">
        <v>322</v>
      </c>
      <c r="B326" s="2" t="s">
        <v>596</v>
      </c>
      <c r="C326" s="3" t="s">
        <v>597</v>
      </c>
      <c r="D326" s="3">
        <v>73180000</v>
      </c>
      <c r="E326" s="4">
        <v>200</v>
      </c>
      <c r="F326" s="5">
        <v>0.19</v>
      </c>
      <c r="G326" s="5">
        <f t="shared" ref="G326:G386" si="5">F326*E326</f>
        <v>38</v>
      </c>
    </row>
    <row r="327" spans="1:7" x14ac:dyDescent="0.3">
      <c r="A327" s="7">
        <v>323</v>
      </c>
      <c r="B327" s="7">
        <v>39105315</v>
      </c>
      <c r="C327" s="3" t="s">
        <v>598</v>
      </c>
      <c r="D327" s="3">
        <v>73180000</v>
      </c>
      <c r="E327" s="4">
        <v>300</v>
      </c>
      <c r="F327" s="5">
        <v>0.1</v>
      </c>
      <c r="G327" s="5">
        <f t="shared" si="5"/>
        <v>30</v>
      </c>
    </row>
    <row r="328" spans="1:7" x14ac:dyDescent="0.3">
      <c r="A328" s="7">
        <v>324</v>
      </c>
      <c r="B328" s="2" t="s">
        <v>599</v>
      </c>
      <c r="C328" s="3" t="s">
        <v>600</v>
      </c>
      <c r="D328" s="3">
        <v>73180000</v>
      </c>
      <c r="E328" s="4">
        <v>200</v>
      </c>
      <c r="F328" s="5">
        <v>0.18</v>
      </c>
      <c r="G328" s="5">
        <f t="shared" si="5"/>
        <v>36</v>
      </c>
    </row>
    <row r="329" spans="1:7" x14ac:dyDescent="0.3">
      <c r="A329" s="7">
        <v>325</v>
      </c>
      <c r="B329" s="2" t="s">
        <v>601</v>
      </c>
      <c r="C329" s="3" t="s">
        <v>602</v>
      </c>
      <c r="D329" s="3">
        <v>73180000</v>
      </c>
      <c r="E329" s="4">
        <v>600</v>
      </c>
      <c r="F329" s="5">
        <v>0.02</v>
      </c>
      <c r="G329" s="5">
        <f t="shared" si="5"/>
        <v>12</v>
      </c>
    </row>
    <row r="330" spans="1:7" x14ac:dyDescent="0.3">
      <c r="A330" s="7">
        <v>326</v>
      </c>
      <c r="B330" s="2" t="s">
        <v>603</v>
      </c>
      <c r="C330" s="3" t="s">
        <v>604</v>
      </c>
      <c r="D330" s="3">
        <v>73180000</v>
      </c>
      <c r="E330" s="4">
        <v>600</v>
      </c>
      <c r="F330" s="5">
        <v>0.04</v>
      </c>
      <c r="G330" s="5">
        <f t="shared" si="5"/>
        <v>24</v>
      </c>
    </row>
    <row r="331" spans="1:7" x14ac:dyDescent="0.3">
      <c r="A331" s="7">
        <v>327</v>
      </c>
      <c r="B331" s="2" t="s">
        <v>605</v>
      </c>
      <c r="C331" s="3" t="s">
        <v>606</v>
      </c>
      <c r="D331" s="3">
        <v>73180000</v>
      </c>
      <c r="E331" s="4">
        <v>600</v>
      </c>
      <c r="F331" s="5">
        <v>0.05</v>
      </c>
      <c r="G331" s="5">
        <f t="shared" si="5"/>
        <v>30</v>
      </c>
    </row>
    <row r="332" spans="1:7" x14ac:dyDescent="0.3">
      <c r="A332" s="7">
        <v>328</v>
      </c>
      <c r="B332" s="2" t="s">
        <v>607</v>
      </c>
      <c r="C332" s="3" t="s">
        <v>608</v>
      </c>
      <c r="D332" s="3">
        <v>85122010</v>
      </c>
      <c r="E332" s="4">
        <v>30</v>
      </c>
      <c r="F332" s="8">
        <v>23.9</v>
      </c>
      <c r="G332" s="5">
        <f t="shared" si="5"/>
        <v>717</v>
      </c>
    </row>
    <row r="333" spans="1:7" x14ac:dyDescent="0.3">
      <c r="A333" s="7">
        <v>329</v>
      </c>
      <c r="B333" s="2" t="s">
        <v>609</v>
      </c>
      <c r="C333" s="3" t="s">
        <v>610</v>
      </c>
      <c r="D333" s="3">
        <v>85122010</v>
      </c>
      <c r="E333" s="4">
        <v>10</v>
      </c>
      <c r="F333" s="8">
        <v>29.4</v>
      </c>
      <c r="G333" s="5">
        <f t="shared" si="5"/>
        <v>294</v>
      </c>
    </row>
    <row r="334" spans="1:7" x14ac:dyDescent="0.3">
      <c r="A334" s="7">
        <v>330</v>
      </c>
      <c r="B334" s="2" t="s">
        <v>611</v>
      </c>
      <c r="C334" s="3" t="s">
        <v>612</v>
      </c>
      <c r="D334" s="3">
        <v>85122010</v>
      </c>
      <c r="E334" s="4">
        <v>10</v>
      </c>
      <c r="F334" s="8">
        <v>30</v>
      </c>
      <c r="G334" s="5">
        <f t="shared" si="5"/>
        <v>300</v>
      </c>
    </row>
    <row r="335" spans="1:7" x14ac:dyDescent="0.3">
      <c r="A335" s="7">
        <v>331</v>
      </c>
      <c r="B335" s="2" t="s">
        <v>613</v>
      </c>
      <c r="C335" s="3" t="s">
        <v>614</v>
      </c>
      <c r="D335" s="3">
        <v>85122010</v>
      </c>
      <c r="E335" s="4">
        <v>10</v>
      </c>
      <c r="F335" s="8">
        <v>51.85</v>
      </c>
      <c r="G335" s="5">
        <f t="shared" si="5"/>
        <v>518.5</v>
      </c>
    </row>
    <row r="336" spans="1:7" x14ac:dyDescent="0.3">
      <c r="A336" s="7">
        <v>332</v>
      </c>
      <c r="B336" s="2" t="s">
        <v>615</v>
      </c>
      <c r="C336" s="3" t="s">
        <v>616</v>
      </c>
      <c r="D336" s="3">
        <v>84219900</v>
      </c>
      <c r="E336" s="4">
        <v>120</v>
      </c>
      <c r="F336" s="5">
        <v>1.29</v>
      </c>
      <c r="G336" s="5">
        <f t="shared" si="5"/>
        <v>154.80000000000001</v>
      </c>
    </row>
    <row r="337" spans="1:7" x14ac:dyDescent="0.3">
      <c r="A337" s="7">
        <v>333</v>
      </c>
      <c r="B337" s="2" t="s">
        <v>617</v>
      </c>
      <c r="C337" s="3" t="s">
        <v>618</v>
      </c>
      <c r="D337" s="3">
        <v>39269090</v>
      </c>
      <c r="E337" s="4">
        <v>10</v>
      </c>
      <c r="F337" s="5">
        <v>1.95</v>
      </c>
      <c r="G337" s="5">
        <f t="shared" si="5"/>
        <v>19.5</v>
      </c>
    </row>
    <row r="338" spans="1:7" x14ac:dyDescent="0.3">
      <c r="A338" s="7">
        <v>334</v>
      </c>
      <c r="B338" s="2" t="s">
        <v>619</v>
      </c>
      <c r="C338" s="3" t="s">
        <v>620</v>
      </c>
      <c r="D338" s="3">
        <v>85392000</v>
      </c>
      <c r="E338" s="4">
        <v>24</v>
      </c>
      <c r="F338" s="5">
        <v>1.79</v>
      </c>
      <c r="G338" s="5">
        <f t="shared" si="5"/>
        <v>42.96</v>
      </c>
    </row>
    <row r="339" spans="1:7" x14ac:dyDescent="0.3">
      <c r="A339" s="7">
        <v>335</v>
      </c>
      <c r="B339" s="2" t="s">
        <v>621</v>
      </c>
      <c r="C339" s="3" t="s">
        <v>622</v>
      </c>
      <c r="D339" s="3">
        <v>85118000</v>
      </c>
      <c r="E339" s="4">
        <v>42</v>
      </c>
      <c r="F339" s="5">
        <v>3.92</v>
      </c>
      <c r="G339" s="5">
        <f t="shared" si="5"/>
        <v>164.64</v>
      </c>
    </row>
    <row r="340" spans="1:7" x14ac:dyDescent="0.3">
      <c r="A340" s="7">
        <v>336</v>
      </c>
      <c r="B340" s="2" t="s">
        <v>623</v>
      </c>
      <c r="C340" s="3" t="s">
        <v>624</v>
      </c>
      <c r="D340" s="3">
        <v>85118000</v>
      </c>
      <c r="E340" s="4">
        <v>6</v>
      </c>
      <c r="F340" s="5">
        <v>10.58</v>
      </c>
      <c r="G340" s="5">
        <f t="shared" si="5"/>
        <v>63.480000000000004</v>
      </c>
    </row>
    <row r="341" spans="1:7" x14ac:dyDescent="0.3">
      <c r="A341" s="7">
        <v>337</v>
      </c>
      <c r="B341" s="2" t="s">
        <v>625</v>
      </c>
      <c r="C341" s="3" t="s">
        <v>626</v>
      </c>
      <c r="D341" s="3">
        <v>85118000</v>
      </c>
      <c r="E341" s="4">
        <v>42</v>
      </c>
      <c r="F341" s="5">
        <v>3.65</v>
      </c>
      <c r="G341" s="5">
        <f t="shared" si="5"/>
        <v>153.29999999999998</v>
      </c>
    </row>
    <row r="342" spans="1:7" x14ac:dyDescent="0.3">
      <c r="A342" s="7">
        <v>338</v>
      </c>
      <c r="B342" s="2" t="s">
        <v>627</v>
      </c>
      <c r="C342" s="3" t="s">
        <v>628</v>
      </c>
      <c r="D342" s="3">
        <v>85118000</v>
      </c>
      <c r="E342" s="4">
        <v>24</v>
      </c>
      <c r="F342" s="5">
        <v>0</v>
      </c>
      <c r="G342" s="5">
        <f t="shared" si="5"/>
        <v>0</v>
      </c>
    </row>
    <row r="343" spans="1:7" x14ac:dyDescent="0.3">
      <c r="A343" s="7">
        <v>339</v>
      </c>
      <c r="B343" s="2" t="s">
        <v>629</v>
      </c>
      <c r="C343" s="3" t="s">
        <v>630</v>
      </c>
      <c r="D343" s="3">
        <v>85118000</v>
      </c>
      <c r="E343" s="4">
        <v>24</v>
      </c>
      <c r="F343" s="5">
        <v>0</v>
      </c>
      <c r="G343" s="5">
        <f t="shared" si="5"/>
        <v>0</v>
      </c>
    </row>
    <row r="344" spans="1:7" x14ac:dyDescent="0.3">
      <c r="A344" s="7">
        <v>340</v>
      </c>
      <c r="B344" s="2" t="s">
        <v>631</v>
      </c>
      <c r="C344" s="3" t="s">
        <v>632</v>
      </c>
      <c r="D344" s="3">
        <v>85365090</v>
      </c>
      <c r="E344" s="4">
        <v>50</v>
      </c>
      <c r="F344" s="5">
        <v>5.91</v>
      </c>
      <c r="G344" s="5">
        <f t="shared" si="5"/>
        <v>295.5</v>
      </c>
    </row>
    <row r="345" spans="1:7" x14ac:dyDescent="0.3">
      <c r="A345" s="7">
        <v>341</v>
      </c>
      <c r="B345" s="2" t="s">
        <v>633</v>
      </c>
      <c r="C345" s="3" t="s">
        <v>634</v>
      </c>
      <c r="D345" s="3">
        <v>85365090</v>
      </c>
      <c r="E345" s="4">
        <v>10</v>
      </c>
      <c r="F345" s="5">
        <v>5</v>
      </c>
      <c r="G345" s="5">
        <f t="shared" si="5"/>
        <v>50</v>
      </c>
    </row>
    <row r="346" spans="1:7" x14ac:dyDescent="0.3">
      <c r="A346" s="7">
        <v>342</v>
      </c>
      <c r="B346" s="2" t="s">
        <v>635</v>
      </c>
      <c r="C346" s="3" t="s">
        <v>636</v>
      </c>
      <c r="D346" s="3">
        <v>85365090</v>
      </c>
      <c r="E346" s="4">
        <v>50</v>
      </c>
      <c r="F346" s="5">
        <v>6</v>
      </c>
      <c r="G346" s="5">
        <f t="shared" si="5"/>
        <v>300</v>
      </c>
    </row>
    <row r="347" spans="1:7" x14ac:dyDescent="0.3">
      <c r="A347" s="7">
        <v>343</v>
      </c>
      <c r="B347" s="2" t="s">
        <v>637</v>
      </c>
      <c r="C347" s="3" t="s">
        <v>638</v>
      </c>
      <c r="D347" s="3">
        <v>39269090</v>
      </c>
      <c r="E347" s="4">
        <v>100</v>
      </c>
      <c r="F347" s="5">
        <v>1.57</v>
      </c>
      <c r="G347" s="5">
        <f t="shared" si="5"/>
        <v>157</v>
      </c>
    </row>
    <row r="348" spans="1:7" x14ac:dyDescent="0.3">
      <c r="A348" s="7">
        <v>344</v>
      </c>
      <c r="B348" s="2" t="s">
        <v>639</v>
      </c>
      <c r="C348" s="3" t="s">
        <v>640</v>
      </c>
      <c r="D348" s="3">
        <v>39269090</v>
      </c>
      <c r="E348" s="4">
        <v>150</v>
      </c>
      <c r="F348" s="5">
        <v>0.09</v>
      </c>
      <c r="G348" s="5">
        <f t="shared" si="5"/>
        <v>13.5</v>
      </c>
    </row>
    <row r="349" spans="1:7" x14ac:dyDescent="0.3">
      <c r="A349" s="7">
        <v>345</v>
      </c>
      <c r="B349" s="2" t="s">
        <v>641</v>
      </c>
      <c r="C349" s="3" t="s">
        <v>642</v>
      </c>
      <c r="D349" s="3">
        <v>39269090</v>
      </c>
      <c r="E349" s="4">
        <v>40</v>
      </c>
      <c r="F349" s="5">
        <v>5.51</v>
      </c>
      <c r="G349" s="5">
        <f t="shared" si="5"/>
        <v>220.39999999999998</v>
      </c>
    </row>
    <row r="350" spans="1:7" x14ac:dyDescent="0.3">
      <c r="A350" s="7">
        <v>346</v>
      </c>
      <c r="B350" s="2" t="s">
        <v>643</v>
      </c>
      <c r="C350" s="3" t="s">
        <v>74</v>
      </c>
      <c r="D350" s="3">
        <v>84219900</v>
      </c>
      <c r="E350" s="4">
        <v>220</v>
      </c>
      <c r="F350" s="5">
        <v>0</v>
      </c>
      <c r="G350" s="5">
        <f t="shared" si="5"/>
        <v>0</v>
      </c>
    </row>
    <row r="351" spans="1:7" x14ac:dyDescent="0.3">
      <c r="A351" s="7">
        <v>347</v>
      </c>
      <c r="B351" s="9" t="s">
        <v>615</v>
      </c>
      <c r="C351" s="3" t="s">
        <v>74</v>
      </c>
      <c r="D351" s="3">
        <v>84219900</v>
      </c>
      <c r="E351" s="4">
        <v>100</v>
      </c>
      <c r="F351" s="5">
        <v>1.29</v>
      </c>
      <c r="G351" s="5">
        <f t="shared" si="5"/>
        <v>129</v>
      </c>
    </row>
    <row r="352" spans="1:7" x14ac:dyDescent="0.3">
      <c r="A352" s="7">
        <v>348</v>
      </c>
      <c r="B352" s="2" t="s">
        <v>644</v>
      </c>
      <c r="C352" s="3" t="s">
        <v>74</v>
      </c>
      <c r="D352" s="3">
        <v>84219900</v>
      </c>
      <c r="E352" s="4">
        <v>200</v>
      </c>
      <c r="F352" s="5">
        <v>0.46</v>
      </c>
      <c r="G352" s="5">
        <f t="shared" si="5"/>
        <v>92</v>
      </c>
    </row>
    <row r="353" spans="1:7" x14ac:dyDescent="0.3">
      <c r="A353" s="7">
        <v>349</v>
      </c>
      <c r="B353" s="2" t="s">
        <v>645</v>
      </c>
      <c r="C353" s="3" t="s">
        <v>74</v>
      </c>
      <c r="D353" s="3">
        <v>84219900</v>
      </c>
      <c r="E353" s="4">
        <v>40</v>
      </c>
      <c r="F353" s="5">
        <v>0.61</v>
      </c>
      <c r="G353" s="5">
        <f t="shared" si="5"/>
        <v>24.4</v>
      </c>
    </row>
    <row r="354" spans="1:7" x14ac:dyDescent="0.3">
      <c r="A354" s="7">
        <v>350</v>
      </c>
      <c r="B354" s="7">
        <v>31121029</v>
      </c>
      <c r="C354" s="3" t="s">
        <v>646</v>
      </c>
      <c r="D354" s="3">
        <v>84219900</v>
      </c>
      <c r="E354" s="4">
        <v>500</v>
      </c>
      <c r="F354" s="5">
        <v>0.65</v>
      </c>
      <c r="G354" s="5">
        <f t="shared" si="5"/>
        <v>325</v>
      </c>
    </row>
    <row r="355" spans="1:7" x14ac:dyDescent="0.3">
      <c r="A355" s="7">
        <v>351</v>
      </c>
      <c r="B355" s="2" t="s">
        <v>647</v>
      </c>
      <c r="C355" s="3" t="s">
        <v>648</v>
      </c>
      <c r="D355" s="3">
        <v>84219900</v>
      </c>
      <c r="E355" s="4">
        <v>160</v>
      </c>
      <c r="F355" s="5">
        <v>0.8</v>
      </c>
      <c r="G355" s="5">
        <f t="shared" si="5"/>
        <v>128</v>
      </c>
    </row>
    <row r="356" spans="1:7" x14ac:dyDescent="0.3">
      <c r="A356" s="7">
        <v>352</v>
      </c>
      <c r="B356" s="2" t="s">
        <v>649</v>
      </c>
      <c r="C356" s="3" t="s">
        <v>650</v>
      </c>
      <c r="D356" s="3">
        <v>84219900</v>
      </c>
      <c r="E356" s="4">
        <v>24</v>
      </c>
      <c r="F356" s="5">
        <v>2.0699999999999998</v>
      </c>
      <c r="G356" s="5">
        <f t="shared" si="5"/>
        <v>49.679999999999993</v>
      </c>
    </row>
    <row r="357" spans="1:7" x14ac:dyDescent="0.3">
      <c r="A357" s="7">
        <v>353</v>
      </c>
      <c r="B357" s="2" t="s">
        <v>651</v>
      </c>
      <c r="C357" s="3" t="s">
        <v>652</v>
      </c>
      <c r="D357" s="3">
        <v>84219900</v>
      </c>
      <c r="E357" s="4">
        <v>120</v>
      </c>
      <c r="F357" s="5">
        <v>0.88</v>
      </c>
      <c r="G357" s="5">
        <f t="shared" si="5"/>
        <v>105.6</v>
      </c>
    </row>
    <row r="358" spans="1:7" x14ac:dyDescent="0.3">
      <c r="A358" s="7">
        <v>354</v>
      </c>
      <c r="B358" s="2" t="s">
        <v>653</v>
      </c>
      <c r="C358" s="3" t="s">
        <v>654</v>
      </c>
      <c r="D358" s="3">
        <v>85122010</v>
      </c>
      <c r="E358" s="4">
        <v>42</v>
      </c>
      <c r="F358" s="5">
        <v>2.96</v>
      </c>
      <c r="G358" s="5">
        <f t="shared" si="5"/>
        <v>124.32</v>
      </c>
    </row>
    <row r="359" spans="1:7" x14ac:dyDescent="0.3">
      <c r="A359" s="7">
        <v>355</v>
      </c>
      <c r="B359" s="2" t="s">
        <v>655</v>
      </c>
      <c r="C359" s="3" t="s">
        <v>656</v>
      </c>
      <c r="D359" s="3">
        <v>85122010</v>
      </c>
      <c r="E359" s="4">
        <v>60</v>
      </c>
      <c r="F359" s="5">
        <v>9.11</v>
      </c>
      <c r="G359" s="5">
        <f t="shared" si="5"/>
        <v>546.59999999999991</v>
      </c>
    </row>
    <row r="360" spans="1:7" x14ac:dyDescent="0.3">
      <c r="A360" s="7">
        <v>356</v>
      </c>
      <c r="B360" s="2" t="s">
        <v>657</v>
      </c>
      <c r="C360" s="3" t="s">
        <v>658</v>
      </c>
      <c r="D360" s="3">
        <v>85122010</v>
      </c>
      <c r="E360" s="4">
        <v>180</v>
      </c>
      <c r="F360" s="5">
        <v>7.72</v>
      </c>
      <c r="G360" s="5">
        <f t="shared" si="5"/>
        <v>1389.6</v>
      </c>
    </row>
    <row r="361" spans="1:7" x14ac:dyDescent="0.3">
      <c r="A361" s="7">
        <v>357</v>
      </c>
      <c r="B361" s="2" t="s">
        <v>659</v>
      </c>
      <c r="C361" s="3" t="s">
        <v>660</v>
      </c>
      <c r="D361" s="3">
        <v>85122010</v>
      </c>
      <c r="E361" s="4">
        <v>42</v>
      </c>
      <c r="F361" s="5">
        <v>5.23</v>
      </c>
      <c r="G361" s="5">
        <f t="shared" si="5"/>
        <v>219.66000000000003</v>
      </c>
    </row>
    <row r="362" spans="1:7" x14ac:dyDescent="0.3">
      <c r="A362" s="7">
        <v>358</v>
      </c>
      <c r="B362" s="2" t="s">
        <v>661</v>
      </c>
      <c r="C362" s="3" t="s">
        <v>660</v>
      </c>
      <c r="D362" s="3">
        <v>85122010</v>
      </c>
      <c r="E362" s="4">
        <v>12</v>
      </c>
      <c r="F362" s="5">
        <v>4.26</v>
      </c>
      <c r="G362" s="5">
        <f t="shared" si="5"/>
        <v>51.12</v>
      </c>
    </row>
    <row r="363" spans="1:7" x14ac:dyDescent="0.3">
      <c r="A363" s="7">
        <v>359</v>
      </c>
      <c r="B363" s="2" t="s">
        <v>662</v>
      </c>
      <c r="C363" s="3" t="s">
        <v>663</v>
      </c>
      <c r="D363" s="3">
        <v>85129000</v>
      </c>
      <c r="E363" s="4">
        <v>12</v>
      </c>
      <c r="F363" s="5">
        <v>1.03</v>
      </c>
      <c r="G363" s="5">
        <f t="shared" si="5"/>
        <v>12.36</v>
      </c>
    </row>
    <row r="364" spans="1:7" x14ac:dyDescent="0.3">
      <c r="A364" s="7">
        <v>360</v>
      </c>
      <c r="B364" s="2" t="s">
        <v>664</v>
      </c>
      <c r="C364" s="3" t="s">
        <v>665</v>
      </c>
      <c r="D364" s="3">
        <v>83012000</v>
      </c>
      <c r="E364" s="4">
        <v>30</v>
      </c>
      <c r="F364" s="5">
        <v>4.8499999999999996</v>
      </c>
      <c r="G364" s="5">
        <f t="shared" si="5"/>
        <v>145.5</v>
      </c>
    </row>
    <row r="365" spans="1:7" x14ac:dyDescent="0.3">
      <c r="A365" s="7">
        <v>361</v>
      </c>
      <c r="B365" s="2" t="s">
        <v>666</v>
      </c>
      <c r="C365" s="3" t="s">
        <v>667</v>
      </c>
      <c r="D365" s="3">
        <v>83012000</v>
      </c>
      <c r="E365" s="4">
        <v>30</v>
      </c>
      <c r="F365" s="5">
        <v>4.92</v>
      </c>
      <c r="G365" s="5">
        <f t="shared" si="5"/>
        <v>147.6</v>
      </c>
    </row>
    <row r="366" spans="1:7" x14ac:dyDescent="0.3">
      <c r="A366" s="7">
        <v>362</v>
      </c>
      <c r="B366" s="2" t="s">
        <v>668</v>
      </c>
      <c r="C366" s="3" t="s">
        <v>669</v>
      </c>
      <c r="D366" s="3">
        <v>83012000</v>
      </c>
      <c r="E366" s="4">
        <v>30</v>
      </c>
      <c r="F366" s="5">
        <v>6.17</v>
      </c>
      <c r="G366" s="5">
        <f t="shared" si="5"/>
        <v>185.1</v>
      </c>
    </row>
    <row r="367" spans="1:7" x14ac:dyDescent="0.3">
      <c r="A367" s="7">
        <v>363</v>
      </c>
      <c r="B367" s="2" t="s">
        <v>670</v>
      </c>
      <c r="C367" s="3" t="s">
        <v>671</v>
      </c>
      <c r="D367" s="3">
        <v>83012000</v>
      </c>
      <c r="E367" s="4">
        <v>42</v>
      </c>
      <c r="F367" s="5">
        <v>6.34</v>
      </c>
      <c r="G367" s="5">
        <f t="shared" si="5"/>
        <v>266.27999999999997</v>
      </c>
    </row>
    <row r="368" spans="1:7" x14ac:dyDescent="0.3">
      <c r="A368" s="7">
        <v>364</v>
      </c>
      <c r="B368" s="7">
        <v>31101061</v>
      </c>
      <c r="C368" s="3" t="s">
        <v>672</v>
      </c>
      <c r="D368" s="3">
        <v>85111000</v>
      </c>
      <c r="E368" s="4">
        <v>200</v>
      </c>
      <c r="F368" s="5">
        <v>0.03</v>
      </c>
      <c r="G368" s="5">
        <f t="shared" si="5"/>
        <v>6</v>
      </c>
    </row>
    <row r="369" spans="1:7" x14ac:dyDescent="0.3">
      <c r="A369" s="7">
        <v>365</v>
      </c>
      <c r="B369" s="2" t="s">
        <v>673</v>
      </c>
      <c r="C369" s="3" t="s">
        <v>674</v>
      </c>
      <c r="D369" s="3">
        <v>85111000</v>
      </c>
      <c r="E369" s="4">
        <v>250</v>
      </c>
      <c r="F369" s="5">
        <v>0.2</v>
      </c>
      <c r="G369" s="5">
        <f t="shared" si="5"/>
        <v>50</v>
      </c>
    </row>
    <row r="370" spans="1:7" x14ac:dyDescent="0.3">
      <c r="A370" s="7">
        <v>366</v>
      </c>
      <c r="B370" s="2" t="s">
        <v>675</v>
      </c>
      <c r="C370" s="3" t="s">
        <v>676</v>
      </c>
      <c r="D370" s="3">
        <v>85114000</v>
      </c>
      <c r="E370" s="4">
        <v>10</v>
      </c>
      <c r="F370" s="5">
        <v>7.9</v>
      </c>
      <c r="G370" s="5">
        <f t="shared" si="5"/>
        <v>79</v>
      </c>
    </row>
    <row r="371" spans="1:7" x14ac:dyDescent="0.3">
      <c r="A371" s="7">
        <v>367</v>
      </c>
      <c r="B371" s="2" t="s">
        <v>677</v>
      </c>
      <c r="C371" s="3" t="s">
        <v>678</v>
      </c>
      <c r="D371" s="3">
        <v>85114000</v>
      </c>
      <c r="E371" s="4">
        <v>24</v>
      </c>
      <c r="F371" s="5">
        <v>5.71</v>
      </c>
      <c r="G371" s="5">
        <f t="shared" si="5"/>
        <v>137.04</v>
      </c>
    </row>
    <row r="372" spans="1:7" x14ac:dyDescent="0.3">
      <c r="A372" s="7">
        <v>368</v>
      </c>
      <c r="B372" s="2" t="s">
        <v>679</v>
      </c>
      <c r="C372" s="3" t="s">
        <v>680</v>
      </c>
      <c r="D372" s="3">
        <v>85114000</v>
      </c>
      <c r="E372" s="4">
        <v>60</v>
      </c>
      <c r="F372" s="5">
        <v>0.9</v>
      </c>
      <c r="G372" s="5">
        <f t="shared" si="5"/>
        <v>54</v>
      </c>
    </row>
    <row r="373" spans="1:7" x14ac:dyDescent="0.3">
      <c r="A373" s="7">
        <v>369</v>
      </c>
      <c r="B373" s="2" t="s">
        <v>681</v>
      </c>
      <c r="C373" s="3" t="s">
        <v>682</v>
      </c>
      <c r="D373" s="3">
        <v>83012000</v>
      </c>
      <c r="E373" s="4">
        <v>160</v>
      </c>
      <c r="F373" s="5">
        <v>0.9</v>
      </c>
      <c r="G373" s="5">
        <f t="shared" si="5"/>
        <v>144</v>
      </c>
    </row>
    <row r="374" spans="1:7" x14ac:dyDescent="0.3">
      <c r="A374" s="7">
        <v>370</v>
      </c>
      <c r="B374" s="2" t="s">
        <v>683</v>
      </c>
      <c r="C374" s="3" t="s">
        <v>684</v>
      </c>
      <c r="D374" s="3">
        <v>83012000</v>
      </c>
      <c r="E374" s="4">
        <v>150</v>
      </c>
      <c r="F374" s="5">
        <v>0.92</v>
      </c>
      <c r="G374" s="5">
        <f t="shared" si="5"/>
        <v>138</v>
      </c>
    </row>
    <row r="375" spans="1:7" x14ac:dyDescent="0.3">
      <c r="A375" s="7">
        <v>371</v>
      </c>
      <c r="B375" s="2" t="s">
        <v>685</v>
      </c>
      <c r="C375" s="3" t="s">
        <v>686</v>
      </c>
      <c r="D375" s="3">
        <v>83012000</v>
      </c>
      <c r="E375" s="4">
        <v>60</v>
      </c>
      <c r="F375" s="5">
        <v>0.83</v>
      </c>
      <c r="G375" s="5">
        <f t="shared" si="5"/>
        <v>49.8</v>
      </c>
    </row>
    <row r="376" spans="1:7" x14ac:dyDescent="0.3">
      <c r="A376" s="7">
        <v>372</v>
      </c>
      <c r="B376" s="2" t="s">
        <v>687</v>
      </c>
      <c r="C376" s="3" t="s">
        <v>688</v>
      </c>
      <c r="D376" s="3">
        <v>83012000</v>
      </c>
      <c r="E376" s="4">
        <v>60</v>
      </c>
      <c r="F376" s="5">
        <v>0.85</v>
      </c>
      <c r="G376" s="5">
        <f t="shared" si="5"/>
        <v>51</v>
      </c>
    </row>
    <row r="377" spans="1:7" x14ac:dyDescent="0.3">
      <c r="A377" s="7">
        <v>373</v>
      </c>
      <c r="B377" s="7">
        <v>30151069</v>
      </c>
      <c r="C377" s="3" t="s">
        <v>689</v>
      </c>
      <c r="D377" s="3">
        <v>73209000</v>
      </c>
      <c r="E377" s="4">
        <v>560</v>
      </c>
      <c r="F377" s="5">
        <v>0.05</v>
      </c>
      <c r="G377" s="5">
        <f t="shared" si="5"/>
        <v>28</v>
      </c>
    </row>
    <row r="378" spans="1:7" x14ac:dyDescent="0.3">
      <c r="A378" s="7">
        <v>374</v>
      </c>
      <c r="B378" s="2" t="s">
        <v>690</v>
      </c>
      <c r="C378" s="3" t="s">
        <v>691</v>
      </c>
      <c r="D378" s="3">
        <v>73209000</v>
      </c>
      <c r="E378" s="4">
        <v>500</v>
      </c>
      <c r="F378" s="5">
        <v>0.18</v>
      </c>
      <c r="G378" s="5">
        <f t="shared" si="5"/>
        <v>90</v>
      </c>
    </row>
    <row r="379" spans="1:7" x14ac:dyDescent="0.3">
      <c r="A379" s="7">
        <v>375</v>
      </c>
      <c r="B379" s="2" t="s">
        <v>692</v>
      </c>
      <c r="C379" s="3" t="s">
        <v>693</v>
      </c>
      <c r="D379" s="3">
        <v>85364100</v>
      </c>
      <c r="E379" s="4">
        <v>220</v>
      </c>
      <c r="F379" s="5">
        <v>2.95</v>
      </c>
      <c r="G379" s="5">
        <f t="shared" si="5"/>
        <v>649</v>
      </c>
    </row>
    <row r="380" spans="1:7" x14ac:dyDescent="0.3">
      <c r="A380" s="7">
        <v>376</v>
      </c>
      <c r="B380" s="2" t="s">
        <v>694</v>
      </c>
      <c r="C380" s="3" t="s">
        <v>695</v>
      </c>
      <c r="D380" s="3">
        <v>85114000</v>
      </c>
      <c r="E380" s="4">
        <v>5</v>
      </c>
      <c r="F380" s="5">
        <v>11.53</v>
      </c>
      <c r="G380" s="5">
        <f t="shared" si="5"/>
        <v>57.65</v>
      </c>
    </row>
    <row r="381" spans="1:7" x14ac:dyDescent="0.3">
      <c r="A381" s="7">
        <v>377</v>
      </c>
      <c r="B381" s="2" t="s">
        <v>696</v>
      </c>
      <c r="C381" s="3" t="s">
        <v>697</v>
      </c>
      <c r="D381" s="3">
        <v>85365090</v>
      </c>
      <c r="E381" s="4">
        <v>30</v>
      </c>
      <c r="F381" s="5">
        <v>3.41</v>
      </c>
      <c r="G381" s="5">
        <f t="shared" si="5"/>
        <v>102.30000000000001</v>
      </c>
    </row>
    <row r="382" spans="1:7" x14ac:dyDescent="0.3">
      <c r="A382" s="7">
        <v>378</v>
      </c>
      <c r="B382" s="2" t="s">
        <v>698</v>
      </c>
      <c r="C382" s="3" t="s">
        <v>187</v>
      </c>
      <c r="D382" s="3">
        <v>85365090</v>
      </c>
      <c r="E382" s="4">
        <v>20</v>
      </c>
      <c r="F382" s="5">
        <v>6.31</v>
      </c>
      <c r="G382" s="5">
        <f t="shared" si="5"/>
        <v>126.19999999999999</v>
      </c>
    </row>
    <row r="383" spans="1:7" x14ac:dyDescent="0.3">
      <c r="A383" s="7">
        <v>379</v>
      </c>
      <c r="B383" s="2" t="s">
        <v>699</v>
      </c>
      <c r="C383" s="3" t="s">
        <v>700</v>
      </c>
      <c r="D383" s="3">
        <v>85365090</v>
      </c>
      <c r="E383" s="4">
        <v>20</v>
      </c>
      <c r="F383" s="5">
        <v>5.18</v>
      </c>
      <c r="G383" s="5">
        <f t="shared" si="5"/>
        <v>103.6</v>
      </c>
    </row>
    <row r="384" spans="1:7" x14ac:dyDescent="0.3">
      <c r="A384" s="7">
        <v>380</v>
      </c>
      <c r="B384" s="2" t="s">
        <v>701</v>
      </c>
      <c r="C384" s="3" t="s">
        <v>700</v>
      </c>
      <c r="D384" s="3">
        <v>85365090</v>
      </c>
      <c r="E384" s="4">
        <v>30</v>
      </c>
      <c r="F384" s="5">
        <v>2.85</v>
      </c>
      <c r="G384" s="5">
        <f t="shared" si="5"/>
        <v>85.5</v>
      </c>
    </row>
    <row r="385" spans="1:7" x14ac:dyDescent="0.3">
      <c r="A385" s="7">
        <v>381</v>
      </c>
      <c r="B385" s="2" t="s">
        <v>702</v>
      </c>
      <c r="C385" s="3" t="s">
        <v>703</v>
      </c>
      <c r="D385" s="3">
        <v>85365090</v>
      </c>
      <c r="E385" s="4">
        <v>40</v>
      </c>
      <c r="F385" s="5">
        <v>3.15</v>
      </c>
      <c r="G385" s="5">
        <f t="shared" si="5"/>
        <v>126</v>
      </c>
    </row>
    <row r="386" spans="1:7" x14ac:dyDescent="0.3">
      <c r="A386" s="7">
        <v>382</v>
      </c>
      <c r="B386" s="2" t="s">
        <v>704</v>
      </c>
      <c r="C386" s="3" t="s">
        <v>705</v>
      </c>
      <c r="D386" s="3">
        <v>70091000</v>
      </c>
      <c r="E386" s="4">
        <v>30</v>
      </c>
      <c r="F386" s="5">
        <v>3.68</v>
      </c>
      <c r="G386" s="5">
        <f t="shared" si="5"/>
        <v>110.4</v>
      </c>
    </row>
    <row r="387" spans="1:7" x14ac:dyDescent="0.3">
      <c r="A387" s="7">
        <v>383</v>
      </c>
      <c r="B387" s="2" t="s">
        <v>706</v>
      </c>
      <c r="C387" s="3" t="s">
        <v>707</v>
      </c>
      <c r="D387" s="3">
        <v>70091000</v>
      </c>
      <c r="E387" s="4">
        <v>30</v>
      </c>
      <c r="F387" s="5">
        <v>3.69</v>
      </c>
      <c r="G387" s="5">
        <f t="shared" ref="G387" si="6">F387*E387</f>
        <v>110.7</v>
      </c>
    </row>
    <row r="388" spans="1:7" s="26" customFormat="1" x14ac:dyDescent="0.3">
      <c r="B388" s="21" t="s">
        <v>708</v>
      </c>
      <c r="C388" s="22"/>
      <c r="D388" s="23"/>
      <c r="E388" s="24">
        <f>SUM(E5:E387)</f>
        <v>63882</v>
      </c>
      <c r="F388" s="25"/>
      <c r="G388" s="25">
        <f>SUM(G5:G387)</f>
        <v>102175.22000000002</v>
      </c>
    </row>
  </sheetData>
  <mergeCells count="2">
    <mergeCell ref="B388:C388"/>
    <mergeCell ref="A1:G2"/>
  </mergeCells>
  <conditionalFormatting sqref="B5:B388">
    <cfRule type="duplicateValues" dxfId="3" priority="4"/>
  </conditionalFormatting>
  <conditionalFormatting sqref="A5:A387">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CA3FD-C1D9-4A64-B6E4-E85A0E991D32}">
  <dimension ref="A1:Z27"/>
  <sheetViews>
    <sheetView topLeftCell="L6" workbookViewId="0">
      <selection activeCell="W16" sqref="W16:Z26"/>
    </sheetView>
  </sheetViews>
  <sheetFormatPr defaultColWidth="18.109375" defaultRowHeight="14.4" x14ac:dyDescent="0.3"/>
  <cols>
    <col min="1" max="1" width="16.77734375" customWidth="1"/>
    <col min="2" max="2" width="56" bestFit="1" customWidth="1"/>
    <col min="3" max="3" width="11.5546875" customWidth="1"/>
    <col min="4" max="4" width="11" bestFit="1" customWidth="1"/>
    <col min="5" max="5" width="11.44140625" customWidth="1"/>
    <col min="6" max="7" width="13.21875" customWidth="1"/>
    <col min="8" max="8" width="8.88671875" customWidth="1"/>
    <col min="9" max="9" width="11.44140625" customWidth="1"/>
    <col min="10" max="10" width="16" customWidth="1"/>
    <col min="11" max="11" width="7.88671875" bestFit="1" customWidth="1"/>
    <col min="12" max="12" width="5.5546875" bestFit="1" customWidth="1"/>
    <col min="13" max="13" width="16.44140625" bestFit="1" customWidth="1"/>
    <col min="14" max="14" width="14" bestFit="1" customWidth="1"/>
    <col min="15" max="15" width="10.5546875" bestFit="1" customWidth="1"/>
    <col min="16" max="16" width="12.33203125" bestFit="1" customWidth="1"/>
    <col min="17" max="17" width="8.5546875" bestFit="1" customWidth="1"/>
    <col min="18" max="18" width="9.33203125" bestFit="1" customWidth="1"/>
    <col min="19" max="19" width="11.44140625" bestFit="1" customWidth="1"/>
    <col min="20" max="20" width="5.6640625" bestFit="1" customWidth="1"/>
    <col min="21" max="21" width="12.44140625" bestFit="1" customWidth="1"/>
    <col min="22" max="23" width="12.21875" bestFit="1" customWidth="1"/>
    <col min="24" max="24" width="11" bestFit="1" customWidth="1"/>
    <col min="25" max="25" width="10.5546875" bestFit="1" customWidth="1"/>
    <col min="26" max="26" width="10.33203125" bestFit="1" customWidth="1"/>
    <col min="27" max="27" width="13.77734375" bestFit="1" customWidth="1"/>
  </cols>
  <sheetData>
    <row r="1" spans="1:26" ht="14.4" customHeight="1" x14ac:dyDescent="0.3">
      <c r="A1" s="28" t="s">
        <v>748</v>
      </c>
      <c r="B1" s="28"/>
      <c r="C1" s="28"/>
      <c r="D1" s="28"/>
      <c r="E1" s="28"/>
      <c r="F1" s="28"/>
      <c r="G1" s="28"/>
      <c r="H1" s="28"/>
      <c r="I1" s="28"/>
      <c r="J1" s="28"/>
      <c r="K1" s="37"/>
      <c r="L1" s="37"/>
      <c r="M1" s="37"/>
      <c r="N1" s="37"/>
      <c r="O1" s="37"/>
      <c r="P1" s="37"/>
      <c r="Q1" s="37"/>
      <c r="R1" s="37"/>
    </row>
    <row r="2" spans="1:26" ht="28.2" customHeight="1" x14ac:dyDescent="0.3">
      <c r="A2" s="28"/>
      <c r="B2" s="28"/>
      <c r="C2" s="28"/>
      <c r="D2" s="28"/>
      <c r="E2" s="28"/>
      <c r="F2" s="28"/>
      <c r="G2" s="28"/>
      <c r="H2" s="28"/>
      <c r="I2" s="28"/>
      <c r="J2" s="28"/>
      <c r="K2" s="37"/>
      <c r="L2" s="37"/>
      <c r="M2" s="37"/>
      <c r="N2" s="37"/>
      <c r="O2" s="37"/>
      <c r="P2" s="37"/>
      <c r="Q2" s="37"/>
      <c r="R2" s="37"/>
    </row>
    <row r="3" spans="1:26" x14ac:dyDescent="0.3">
      <c r="A3" s="29"/>
      <c r="B3" s="29"/>
      <c r="C3" s="29"/>
      <c r="D3" s="29"/>
      <c r="E3" s="29"/>
      <c r="F3" s="29"/>
      <c r="G3" s="29"/>
      <c r="H3" s="29"/>
      <c r="I3" s="29"/>
      <c r="J3" s="29"/>
      <c r="K3" s="29"/>
      <c r="L3" s="29"/>
      <c r="M3" s="29"/>
      <c r="N3" s="29"/>
      <c r="O3" s="29"/>
      <c r="P3" s="29"/>
      <c r="Q3" s="29"/>
      <c r="R3" s="29"/>
    </row>
    <row r="4" spans="1:26" s="19" customFormat="1" ht="14.4" customHeight="1" x14ac:dyDescent="0.3">
      <c r="A4" s="38" t="s">
        <v>713</v>
      </c>
      <c r="B4" s="38" t="s">
        <v>714</v>
      </c>
      <c r="C4" s="27"/>
      <c r="D4" s="42" t="s">
        <v>715</v>
      </c>
      <c r="E4" s="43"/>
      <c r="F4" s="44"/>
      <c r="G4" s="52"/>
      <c r="H4" s="38"/>
      <c r="I4" s="27"/>
      <c r="J4" s="27"/>
      <c r="K4" s="27"/>
      <c r="L4" s="27"/>
      <c r="M4" s="27"/>
      <c r="N4" s="27"/>
      <c r="O4" s="27"/>
      <c r="P4" s="27"/>
      <c r="Q4" s="27"/>
      <c r="R4" s="27"/>
    </row>
    <row r="5" spans="1:26" x14ac:dyDescent="0.3">
      <c r="A5" s="29"/>
      <c r="B5" s="29"/>
      <c r="C5" s="29"/>
      <c r="D5" s="29"/>
      <c r="E5" s="29"/>
      <c r="F5" s="29"/>
      <c r="G5" s="29"/>
      <c r="H5" s="29"/>
      <c r="I5" s="29"/>
      <c r="J5" s="29"/>
      <c r="K5" s="29"/>
      <c r="L5" s="29"/>
      <c r="M5" s="29"/>
      <c r="N5" s="29"/>
      <c r="O5" s="29"/>
      <c r="P5" s="29"/>
      <c r="Q5" s="29"/>
      <c r="R5" s="29"/>
    </row>
    <row r="6" spans="1:26" x14ac:dyDescent="0.3">
      <c r="A6" s="31" t="s">
        <v>716</v>
      </c>
      <c r="B6" s="31"/>
      <c r="C6" s="29"/>
      <c r="D6" s="29"/>
      <c r="E6" s="29"/>
      <c r="F6" s="29"/>
      <c r="G6" s="29"/>
      <c r="H6" s="29"/>
      <c r="I6" s="29"/>
      <c r="J6" s="29"/>
      <c r="K6" s="29"/>
      <c r="L6" s="29"/>
      <c r="M6" s="29"/>
      <c r="N6" s="29"/>
      <c r="O6" s="29"/>
      <c r="P6" s="29"/>
      <c r="Q6" s="29"/>
      <c r="R6" s="29"/>
    </row>
    <row r="7" spans="1:26" s="34" customFormat="1" x14ac:dyDescent="0.3">
      <c r="A7" s="47" t="s">
        <v>717</v>
      </c>
      <c r="B7" s="45"/>
      <c r="C7" s="45"/>
      <c r="D7" s="33"/>
      <c r="E7" s="47" t="s">
        <v>726</v>
      </c>
      <c r="F7" s="45" t="s">
        <v>728</v>
      </c>
      <c r="G7" s="45"/>
      <c r="H7" s="45"/>
      <c r="I7" s="33"/>
      <c r="J7" s="48" t="s">
        <v>732</v>
      </c>
      <c r="K7" s="36" t="s">
        <v>736</v>
      </c>
      <c r="L7" s="33"/>
      <c r="M7" s="48" t="s">
        <v>737</v>
      </c>
      <c r="N7" s="36" t="s">
        <v>747</v>
      </c>
      <c r="O7" s="36" t="s">
        <v>738</v>
      </c>
      <c r="P7" s="36" t="s">
        <v>739</v>
      </c>
      <c r="Q7" s="36" t="s">
        <v>740</v>
      </c>
      <c r="R7" s="33"/>
    </row>
    <row r="8" spans="1:26" s="34" customFormat="1" x14ac:dyDescent="0.3">
      <c r="A8" s="47" t="s">
        <v>718</v>
      </c>
      <c r="B8" s="45"/>
      <c r="C8" s="45"/>
      <c r="D8" s="33"/>
      <c r="E8" s="47" t="s">
        <v>727</v>
      </c>
      <c r="F8" s="45" t="s">
        <v>728</v>
      </c>
      <c r="G8" s="45"/>
      <c r="H8" s="45"/>
      <c r="I8" s="33"/>
      <c r="J8" s="48" t="s">
        <v>3</v>
      </c>
      <c r="K8" s="36" t="s">
        <v>736</v>
      </c>
      <c r="L8" s="33"/>
      <c r="M8" s="48" t="s">
        <v>741</v>
      </c>
      <c r="N8" s="36" t="s">
        <v>747</v>
      </c>
      <c r="O8" s="36" t="s">
        <v>742</v>
      </c>
      <c r="P8" s="36" t="s">
        <v>739</v>
      </c>
      <c r="Q8" s="36" t="s">
        <v>740</v>
      </c>
      <c r="R8" s="33"/>
    </row>
    <row r="9" spans="1:26" s="34" customFormat="1" x14ac:dyDescent="0.3">
      <c r="A9" s="47" t="s">
        <v>719</v>
      </c>
      <c r="B9" s="45"/>
      <c r="C9" s="45"/>
      <c r="D9" s="33"/>
      <c r="E9" s="47" t="s">
        <v>2</v>
      </c>
      <c r="F9" s="45" t="s">
        <v>728</v>
      </c>
      <c r="G9" s="45"/>
      <c r="H9" s="45"/>
      <c r="I9" s="33"/>
      <c r="J9" s="48" t="s">
        <v>4</v>
      </c>
      <c r="K9" s="36" t="s">
        <v>736</v>
      </c>
      <c r="L9" s="33"/>
      <c r="M9" s="48" t="s">
        <v>743</v>
      </c>
      <c r="N9" s="36" t="s">
        <v>747</v>
      </c>
      <c r="O9" s="36"/>
      <c r="P9" s="36" t="s">
        <v>739</v>
      </c>
      <c r="Q9" s="36"/>
      <c r="R9" s="33"/>
    </row>
    <row r="10" spans="1:26" s="34" customFormat="1" x14ac:dyDescent="0.3">
      <c r="A10" s="47" t="s">
        <v>720</v>
      </c>
      <c r="B10" s="45"/>
      <c r="C10" s="45"/>
      <c r="D10" s="33"/>
      <c r="E10" s="47" t="s">
        <v>729</v>
      </c>
      <c r="F10" s="45" t="s">
        <v>731</v>
      </c>
      <c r="G10" s="45"/>
      <c r="H10" s="45"/>
      <c r="I10" s="33"/>
      <c r="J10" s="48" t="s">
        <v>5</v>
      </c>
      <c r="K10" s="36" t="s">
        <v>736</v>
      </c>
      <c r="L10" s="33"/>
      <c r="M10" s="48" t="s">
        <v>744</v>
      </c>
      <c r="N10" s="36" t="s">
        <v>747</v>
      </c>
      <c r="O10" s="36"/>
      <c r="P10" s="36" t="s">
        <v>739</v>
      </c>
      <c r="Q10" s="36" t="s">
        <v>740</v>
      </c>
      <c r="R10" s="33"/>
    </row>
    <row r="11" spans="1:26" s="34" customFormat="1" x14ac:dyDescent="0.3">
      <c r="A11" s="47" t="s">
        <v>721</v>
      </c>
      <c r="B11" s="45"/>
      <c r="C11" s="45"/>
      <c r="D11" s="33"/>
      <c r="E11" s="47" t="s">
        <v>730</v>
      </c>
      <c r="F11" s="45" t="s">
        <v>728</v>
      </c>
      <c r="G11" s="45"/>
      <c r="H11" s="45"/>
      <c r="I11" s="33"/>
      <c r="J11" s="48" t="s">
        <v>6</v>
      </c>
      <c r="K11" s="36" t="s">
        <v>736</v>
      </c>
      <c r="L11" s="33"/>
      <c r="M11" s="48" t="s">
        <v>745</v>
      </c>
      <c r="N11" s="36" t="s">
        <v>747</v>
      </c>
      <c r="O11" s="36"/>
      <c r="P11" s="36" t="s">
        <v>739</v>
      </c>
      <c r="Q11" s="36"/>
      <c r="R11" s="33"/>
    </row>
    <row r="12" spans="1:26" s="34" customFormat="1" x14ac:dyDescent="0.3">
      <c r="A12" s="47" t="s">
        <v>722</v>
      </c>
      <c r="B12" s="46" t="s">
        <v>723</v>
      </c>
      <c r="C12" s="46"/>
      <c r="D12" s="33"/>
      <c r="E12" s="55" t="s">
        <v>757</v>
      </c>
      <c r="F12" s="55"/>
      <c r="G12" s="56">
        <v>335</v>
      </c>
      <c r="H12" s="54"/>
      <c r="I12" s="33"/>
      <c r="J12" s="48" t="s">
        <v>733</v>
      </c>
      <c r="K12" s="36" t="s">
        <v>736</v>
      </c>
      <c r="L12" s="33"/>
      <c r="M12" s="48" t="s">
        <v>746</v>
      </c>
      <c r="N12" s="36" t="s">
        <v>747</v>
      </c>
      <c r="O12" s="36"/>
      <c r="P12" s="36" t="s">
        <v>739</v>
      </c>
      <c r="Q12" s="36"/>
      <c r="R12" s="33"/>
    </row>
    <row r="13" spans="1:26" s="34" customFormat="1" ht="14.4" customHeight="1" x14ac:dyDescent="0.3">
      <c r="A13" s="47" t="s">
        <v>724</v>
      </c>
      <c r="B13" s="46" t="s">
        <v>725</v>
      </c>
      <c r="C13" s="46"/>
      <c r="D13" s="33"/>
      <c r="E13" s="57" t="s">
        <v>758</v>
      </c>
      <c r="F13" s="57"/>
      <c r="G13" s="56">
        <v>340</v>
      </c>
      <c r="H13" s="53"/>
      <c r="I13" s="33"/>
      <c r="J13" s="48" t="s">
        <v>734</v>
      </c>
      <c r="K13" s="36" t="s">
        <v>736</v>
      </c>
      <c r="L13" s="33"/>
      <c r="M13" s="33"/>
      <c r="N13" s="33"/>
      <c r="O13" s="33"/>
      <c r="P13" s="33"/>
      <c r="Q13" s="33"/>
      <c r="R13" s="33"/>
    </row>
    <row r="14" spans="1:26" s="34" customFormat="1" x14ac:dyDescent="0.3">
      <c r="A14" s="32"/>
      <c r="B14" s="35"/>
      <c r="C14" s="35"/>
      <c r="D14" s="33"/>
      <c r="E14" s="57" t="s">
        <v>759</v>
      </c>
      <c r="F14" s="57"/>
      <c r="G14" s="36"/>
      <c r="H14" s="33"/>
      <c r="I14" s="33"/>
      <c r="J14" s="48" t="s">
        <v>735</v>
      </c>
      <c r="K14" s="36" t="s">
        <v>736</v>
      </c>
      <c r="L14" s="33"/>
      <c r="M14" s="33" t="s">
        <v>757</v>
      </c>
      <c r="N14" s="33"/>
      <c r="O14" s="33"/>
      <c r="P14" s="33"/>
      <c r="Q14" s="33"/>
      <c r="R14" s="33"/>
    </row>
    <row r="15" spans="1:26" s="34" customFormat="1" ht="28.8" x14ac:dyDescent="0.3">
      <c r="A15" s="49" t="s">
        <v>749</v>
      </c>
      <c r="B15" s="35"/>
      <c r="C15" s="35"/>
      <c r="D15" s="33"/>
      <c r="E15" s="33"/>
      <c r="F15" s="33"/>
      <c r="G15" s="33"/>
      <c r="H15" s="33"/>
      <c r="I15" s="33"/>
      <c r="J15" s="33"/>
      <c r="K15" s="33"/>
      <c r="L15" s="33"/>
      <c r="M15" s="33" t="s">
        <v>758</v>
      </c>
      <c r="N15" s="33"/>
      <c r="O15" s="33"/>
      <c r="P15" s="33"/>
      <c r="Q15" s="33"/>
      <c r="R15" s="33"/>
    </row>
    <row r="16" spans="1:26" x14ac:dyDescent="0.3">
      <c r="A16" s="29"/>
      <c r="B16" s="29"/>
      <c r="C16" s="29"/>
      <c r="D16" s="29"/>
      <c r="E16" s="29"/>
      <c r="F16" s="29"/>
      <c r="G16" s="29"/>
      <c r="W16" s="62" t="s">
        <v>767</v>
      </c>
      <c r="X16" s="63"/>
      <c r="Y16" s="63"/>
      <c r="Z16" s="64"/>
    </row>
    <row r="17" spans="1:26" x14ac:dyDescent="0.3">
      <c r="A17" s="50" t="s">
        <v>750</v>
      </c>
      <c r="B17" s="50"/>
      <c r="D17" s="26" t="s">
        <v>766</v>
      </c>
      <c r="W17" s="65"/>
      <c r="X17" s="66"/>
      <c r="Y17" s="66"/>
      <c r="Z17" s="67"/>
    </row>
    <row r="18" spans="1:26" ht="72" x14ac:dyDescent="0.3">
      <c r="A18" s="1" t="s">
        <v>0</v>
      </c>
      <c r="B18" s="1" t="s">
        <v>1</v>
      </c>
      <c r="C18" s="51" t="s">
        <v>751</v>
      </c>
      <c r="D18" s="51" t="s">
        <v>710</v>
      </c>
      <c r="E18" s="51" t="s">
        <v>752</v>
      </c>
      <c r="F18" s="51" t="s">
        <v>756</v>
      </c>
      <c r="G18" s="51" t="s">
        <v>754</v>
      </c>
      <c r="H18" s="51" t="s">
        <v>755</v>
      </c>
      <c r="I18" s="15" t="s">
        <v>732</v>
      </c>
      <c r="J18" s="15" t="s">
        <v>3</v>
      </c>
      <c r="K18" s="15" t="s">
        <v>4</v>
      </c>
      <c r="L18" s="15" t="s">
        <v>5</v>
      </c>
      <c r="M18" s="15" t="s">
        <v>6</v>
      </c>
      <c r="N18" s="15" t="s">
        <v>733</v>
      </c>
      <c r="O18" s="15" t="s">
        <v>734</v>
      </c>
      <c r="P18" s="15" t="s">
        <v>735</v>
      </c>
      <c r="Q18" s="15" t="s">
        <v>8</v>
      </c>
      <c r="R18" s="15" t="s">
        <v>9</v>
      </c>
      <c r="S18" s="15" t="s">
        <v>745</v>
      </c>
      <c r="T18" s="15" t="s">
        <v>753</v>
      </c>
      <c r="U18" s="15" t="s">
        <v>760</v>
      </c>
      <c r="V18" s="15" t="s">
        <v>761</v>
      </c>
      <c r="W18" s="60" t="s">
        <v>765</v>
      </c>
      <c r="X18" s="60" t="s">
        <v>762</v>
      </c>
      <c r="Y18" s="60" t="s">
        <v>763</v>
      </c>
      <c r="Z18" s="60" t="s">
        <v>764</v>
      </c>
    </row>
    <row r="19" spans="1:26" x14ac:dyDescent="0.3">
      <c r="A19" s="2" t="s">
        <v>10</v>
      </c>
      <c r="B19" s="3" t="s">
        <v>11</v>
      </c>
      <c r="C19" s="4">
        <v>700</v>
      </c>
      <c r="D19" s="5">
        <v>0.71</v>
      </c>
      <c r="E19" s="5">
        <v>497</v>
      </c>
      <c r="F19" s="58"/>
      <c r="G19" s="5"/>
      <c r="H19" s="5"/>
      <c r="I19" s="5"/>
      <c r="J19" s="3"/>
      <c r="K19" s="3"/>
      <c r="L19" s="3"/>
      <c r="M19" s="3"/>
      <c r="N19" s="3"/>
      <c r="O19" s="3"/>
      <c r="P19" s="3"/>
      <c r="Q19" s="3"/>
      <c r="R19" s="3"/>
      <c r="S19" s="3"/>
      <c r="T19" s="3"/>
      <c r="U19" s="3"/>
      <c r="V19" s="3"/>
      <c r="W19" s="61"/>
      <c r="X19" s="61"/>
      <c r="Y19" s="61"/>
      <c r="Z19" s="61"/>
    </row>
    <row r="20" spans="1:26" x14ac:dyDescent="0.3">
      <c r="A20" s="2" t="s">
        <v>12</v>
      </c>
      <c r="B20" s="3" t="s">
        <v>13</v>
      </c>
      <c r="C20" s="4">
        <v>300</v>
      </c>
      <c r="D20" s="5">
        <v>0.74</v>
      </c>
      <c r="E20" s="5">
        <v>222</v>
      </c>
      <c r="F20" s="58"/>
      <c r="G20" s="5"/>
      <c r="H20" s="5"/>
      <c r="I20" s="5"/>
      <c r="J20" s="3"/>
      <c r="K20" s="3"/>
      <c r="L20" s="3"/>
      <c r="M20" s="3"/>
      <c r="N20" s="3"/>
      <c r="O20" s="3"/>
      <c r="P20" s="3"/>
      <c r="Q20" s="3"/>
      <c r="R20" s="3"/>
      <c r="S20" s="3"/>
      <c r="T20" s="3"/>
      <c r="U20" s="3"/>
      <c r="V20" s="3"/>
      <c r="W20" s="61"/>
      <c r="X20" s="61"/>
      <c r="Y20" s="61"/>
      <c r="Z20" s="61"/>
    </row>
    <row r="21" spans="1:26" x14ac:dyDescent="0.3">
      <c r="A21" s="2" t="s">
        <v>14</v>
      </c>
      <c r="B21" s="3" t="s">
        <v>15</v>
      </c>
      <c r="C21" s="4">
        <v>400</v>
      </c>
      <c r="D21" s="5">
        <v>0.79</v>
      </c>
      <c r="E21" s="5">
        <v>316</v>
      </c>
      <c r="F21" s="58"/>
      <c r="G21" s="5"/>
      <c r="H21" s="5"/>
      <c r="I21" s="5"/>
      <c r="J21" s="3"/>
      <c r="K21" s="3"/>
      <c r="L21" s="3"/>
      <c r="M21" s="3"/>
      <c r="N21" s="3"/>
      <c r="O21" s="3"/>
      <c r="P21" s="3"/>
      <c r="Q21" s="3"/>
      <c r="R21" s="3"/>
      <c r="S21" s="3"/>
      <c r="T21" s="3"/>
      <c r="U21" s="3"/>
      <c r="V21" s="3"/>
      <c r="W21" s="61"/>
      <c r="X21" s="61"/>
      <c r="Y21" s="61"/>
      <c r="Z21" s="61"/>
    </row>
    <row r="22" spans="1:26" x14ac:dyDescent="0.3">
      <c r="A22" s="2" t="s">
        <v>16</v>
      </c>
      <c r="B22" s="3" t="s">
        <v>17</v>
      </c>
      <c r="C22" s="4">
        <v>380</v>
      </c>
      <c r="D22" s="5">
        <v>0.91</v>
      </c>
      <c r="E22" s="5">
        <v>345.8</v>
      </c>
      <c r="F22" s="58"/>
      <c r="G22" s="5"/>
      <c r="H22" s="5"/>
      <c r="I22" s="5"/>
      <c r="J22" s="3"/>
      <c r="K22" s="3"/>
      <c r="L22" s="3"/>
      <c r="M22" s="3"/>
      <c r="N22" s="3"/>
      <c r="O22" s="3"/>
      <c r="P22" s="3"/>
      <c r="Q22" s="3"/>
      <c r="R22" s="3"/>
      <c r="S22" s="3"/>
      <c r="T22" s="3"/>
      <c r="U22" s="3"/>
      <c r="V22" s="3"/>
      <c r="W22" s="61"/>
      <c r="X22" s="61"/>
      <c r="Y22" s="61"/>
      <c r="Z22" s="61"/>
    </row>
    <row r="23" spans="1:26" x14ac:dyDescent="0.3">
      <c r="A23" s="2" t="s">
        <v>18</v>
      </c>
      <c r="B23" s="3" t="s">
        <v>19</v>
      </c>
      <c r="C23" s="4">
        <v>50</v>
      </c>
      <c r="D23" s="5">
        <v>1.08</v>
      </c>
      <c r="E23" s="5">
        <v>54</v>
      </c>
      <c r="F23" s="58"/>
      <c r="G23" s="5"/>
      <c r="H23" s="5"/>
      <c r="I23" s="5"/>
      <c r="J23" s="3"/>
      <c r="K23" s="3"/>
      <c r="L23" s="3"/>
      <c r="M23" s="3"/>
      <c r="N23" s="3"/>
      <c r="O23" s="3"/>
      <c r="P23" s="3"/>
      <c r="Q23" s="3"/>
      <c r="R23" s="3"/>
      <c r="S23" s="3"/>
      <c r="T23" s="3"/>
      <c r="U23" s="3"/>
      <c r="V23" s="3"/>
      <c r="W23" s="61"/>
      <c r="X23" s="61"/>
      <c r="Y23" s="61"/>
      <c r="Z23" s="61"/>
    </row>
    <row r="24" spans="1:26" x14ac:dyDescent="0.3">
      <c r="A24" s="7">
        <v>36311006</v>
      </c>
      <c r="B24" s="3" t="s">
        <v>20</v>
      </c>
      <c r="C24" s="4">
        <v>960</v>
      </c>
      <c r="D24" s="5">
        <v>1.18</v>
      </c>
      <c r="E24" s="5">
        <v>1132.8</v>
      </c>
      <c r="F24" s="58"/>
      <c r="G24" s="5"/>
      <c r="H24" s="5"/>
      <c r="I24" s="5"/>
      <c r="J24" s="3"/>
      <c r="K24" s="3"/>
      <c r="L24" s="3"/>
      <c r="M24" s="3"/>
      <c r="N24" s="3"/>
      <c r="O24" s="3"/>
      <c r="P24" s="3"/>
      <c r="Q24" s="3"/>
      <c r="R24" s="3"/>
      <c r="S24" s="3"/>
      <c r="T24" s="3"/>
      <c r="U24" s="3"/>
      <c r="V24" s="3"/>
      <c r="W24" s="61"/>
      <c r="X24" s="61"/>
      <c r="Y24" s="61"/>
      <c r="Z24" s="61"/>
    </row>
    <row r="25" spans="1:26" x14ac:dyDescent="0.3">
      <c r="A25" s="2" t="s">
        <v>21</v>
      </c>
      <c r="B25" s="3" t="s">
        <v>22</v>
      </c>
      <c r="C25" s="4">
        <v>300</v>
      </c>
      <c r="D25" s="5">
        <v>1.43</v>
      </c>
      <c r="E25" s="5">
        <v>429</v>
      </c>
      <c r="F25" s="58"/>
      <c r="G25" s="5"/>
      <c r="H25" s="5"/>
      <c r="I25" s="5"/>
      <c r="J25" s="3"/>
      <c r="K25" s="3"/>
      <c r="L25" s="3"/>
      <c r="M25" s="3"/>
      <c r="N25" s="3"/>
      <c r="O25" s="3"/>
      <c r="P25" s="3"/>
      <c r="Q25" s="3"/>
      <c r="R25" s="3"/>
      <c r="S25" s="3"/>
      <c r="T25" s="3"/>
      <c r="U25" s="3"/>
      <c r="V25" s="3"/>
      <c r="W25" s="61"/>
      <c r="X25" s="61"/>
      <c r="Y25" s="61"/>
      <c r="Z25" s="61"/>
    </row>
    <row r="26" spans="1:26" x14ac:dyDescent="0.3">
      <c r="A26" s="2" t="s">
        <v>23</v>
      </c>
      <c r="B26" s="3" t="s">
        <v>24</v>
      </c>
      <c r="C26" s="4">
        <v>400</v>
      </c>
      <c r="D26" s="5">
        <v>1.19</v>
      </c>
      <c r="E26" s="5">
        <v>476</v>
      </c>
      <c r="F26" s="58"/>
      <c r="G26" s="5"/>
      <c r="H26" s="5"/>
      <c r="I26" s="5"/>
      <c r="J26" s="3"/>
      <c r="K26" s="3"/>
      <c r="L26" s="3"/>
      <c r="M26" s="3"/>
      <c r="N26" s="3"/>
      <c r="O26" s="3"/>
      <c r="P26" s="3"/>
      <c r="Q26" s="3"/>
      <c r="R26" s="3"/>
      <c r="S26" s="3"/>
      <c r="T26" s="3"/>
      <c r="U26" s="3"/>
      <c r="V26" s="3"/>
      <c r="W26" s="61"/>
      <c r="X26" s="61"/>
      <c r="Y26" s="61"/>
      <c r="Z26" s="61"/>
    </row>
    <row r="27" spans="1:26" x14ac:dyDescent="0.3">
      <c r="A27" s="12" t="s">
        <v>708</v>
      </c>
      <c r="B27" s="13"/>
      <c r="C27" s="4">
        <f>SUM(C19:C26)</f>
        <v>3490</v>
      </c>
      <c r="D27" s="14"/>
      <c r="E27" s="6">
        <f>SUM(E19:E26)</f>
        <v>3472.6</v>
      </c>
      <c r="F27" s="6"/>
      <c r="G27" s="59"/>
      <c r="H27" s="30"/>
    </row>
  </sheetData>
  <mergeCells count="21">
    <mergeCell ref="W16:Z17"/>
    <mergeCell ref="A1:J2"/>
    <mergeCell ref="D4:F4"/>
    <mergeCell ref="A17:B17"/>
    <mergeCell ref="E13:F13"/>
    <mergeCell ref="E14:F14"/>
    <mergeCell ref="E12:F12"/>
    <mergeCell ref="B13:C13"/>
    <mergeCell ref="F7:H7"/>
    <mergeCell ref="F8:H8"/>
    <mergeCell ref="F9:H9"/>
    <mergeCell ref="F10:H10"/>
    <mergeCell ref="F11:H11"/>
    <mergeCell ref="A27:B27"/>
    <mergeCell ref="A6:B6"/>
    <mergeCell ref="B12:C12"/>
    <mergeCell ref="B7:C7"/>
    <mergeCell ref="B8:C8"/>
    <mergeCell ref="B9:C9"/>
    <mergeCell ref="B10:C10"/>
    <mergeCell ref="B11:C11"/>
  </mergeCells>
  <conditionalFormatting sqref="A19:A27">
    <cfRule type="duplicateValues" dxfId="1"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558B6-2C8C-4B4B-BA7D-FA99292A40EF}">
  <dimension ref="A1:Z18"/>
  <sheetViews>
    <sheetView tabSelected="1" workbookViewId="0">
      <selection activeCell="A18" sqref="A18"/>
    </sheetView>
  </sheetViews>
  <sheetFormatPr defaultColWidth="18.109375" defaultRowHeight="14.4" x14ac:dyDescent="0.3"/>
  <cols>
    <col min="1" max="1" width="16.77734375" customWidth="1"/>
    <col min="2" max="2" width="48.6640625" customWidth="1"/>
    <col min="3" max="3" width="11.5546875" customWidth="1"/>
    <col min="4" max="4" width="11" bestFit="1" customWidth="1"/>
    <col min="5" max="5" width="11.44140625" customWidth="1"/>
    <col min="6" max="7" width="13.21875" customWidth="1"/>
    <col min="8" max="8" width="8.88671875" customWidth="1"/>
    <col min="9" max="9" width="11.44140625" customWidth="1"/>
    <col min="10" max="10" width="16" customWidth="1"/>
    <col min="11" max="11" width="7.88671875" bestFit="1" customWidth="1"/>
    <col min="12" max="12" width="5.5546875" bestFit="1" customWidth="1"/>
    <col min="13" max="13" width="16.44140625" bestFit="1" customWidth="1"/>
    <col min="14" max="14" width="14" bestFit="1" customWidth="1"/>
    <col min="15" max="15" width="10.5546875" bestFit="1" customWidth="1"/>
    <col min="16" max="16" width="12.33203125" bestFit="1" customWidth="1"/>
    <col min="17" max="17" width="8.5546875" bestFit="1" customWidth="1"/>
    <col min="18" max="18" width="9.33203125" bestFit="1" customWidth="1"/>
    <col min="19" max="19" width="11.44140625" bestFit="1" customWidth="1"/>
    <col min="20" max="20" width="5.6640625" bestFit="1" customWidth="1"/>
    <col min="21" max="21" width="12.44140625" bestFit="1" customWidth="1"/>
    <col min="22" max="23" width="12.21875" bestFit="1" customWidth="1"/>
    <col min="24" max="24" width="11" bestFit="1" customWidth="1"/>
    <col min="25" max="25" width="10.5546875" bestFit="1" customWidth="1"/>
    <col min="26" max="26" width="10.33203125" bestFit="1" customWidth="1"/>
    <col min="27" max="27" width="13.77734375" bestFit="1" customWidth="1"/>
  </cols>
  <sheetData>
    <row r="1" spans="1:26" ht="14.4" customHeight="1" x14ac:dyDescent="0.3">
      <c r="A1" s="28" t="s">
        <v>770</v>
      </c>
      <c r="B1" s="28"/>
      <c r="C1" s="28"/>
      <c r="D1" s="28"/>
      <c r="E1" s="28"/>
      <c r="F1" s="28"/>
      <c r="G1" s="28"/>
      <c r="H1" s="28"/>
      <c r="I1" s="28"/>
      <c r="J1" s="28"/>
      <c r="K1" s="37"/>
      <c r="L1" s="37"/>
      <c r="M1" s="37"/>
      <c r="N1" s="37"/>
      <c r="O1" s="37"/>
      <c r="P1" s="37"/>
      <c r="Q1" s="37"/>
      <c r="R1" s="37"/>
    </row>
    <row r="2" spans="1:26" ht="28.2" customHeight="1" x14ac:dyDescent="0.3">
      <c r="A2" s="28"/>
      <c r="B2" s="28"/>
      <c r="C2" s="28"/>
      <c r="D2" s="28"/>
      <c r="E2" s="28"/>
      <c r="F2" s="28"/>
      <c r="G2" s="28"/>
      <c r="H2" s="28"/>
      <c r="I2" s="28"/>
      <c r="J2" s="28"/>
      <c r="K2" s="37"/>
      <c r="L2" s="37"/>
      <c r="M2" s="37"/>
      <c r="N2" s="37"/>
      <c r="O2" s="37"/>
      <c r="P2" s="37"/>
      <c r="Q2" s="37"/>
      <c r="R2" s="37"/>
    </row>
    <row r="3" spans="1:26" x14ac:dyDescent="0.3">
      <c r="A3" s="29"/>
      <c r="B3" s="29"/>
      <c r="C3" s="29"/>
      <c r="D3" s="29"/>
      <c r="E3" s="29"/>
      <c r="F3" s="29"/>
      <c r="G3" s="29"/>
      <c r="H3" s="29"/>
      <c r="I3" s="29"/>
      <c r="J3" s="29"/>
      <c r="K3" s="29"/>
      <c r="L3" s="29"/>
      <c r="M3" s="29"/>
      <c r="N3" s="29"/>
      <c r="O3" s="29"/>
      <c r="P3" s="29"/>
      <c r="Q3" s="29"/>
      <c r="R3" s="29"/>
    </row>
    <row r="4" spans="1:26" s="19" customFormat="1" ht="14.4" customHeight="1" x14ac:dyDescent="0.3">
      <c r="A4" s="38" t="s">
        <v>713</v>
      </c>
      <c r="B4" s="38" t="s">
        <v>714</v>
      </c>
      <c r="C4" s="27"/>
      <c r="D4" s="40" t="s">
        <v>715</v>
      </c>
      <c r="E4" s="41"/>
      <c r="F4" s="68" t="s">
        <v>714</v>
      </c>
      <c r="H4" s="39" t="s">
        <v>768</v>
      </c>
      <c r="I4" s="39"/>
      <c r="J4" s="39" t="s">
        <v>769</v>
      </c>
      <c r="K4" s="39"/>
      <c r="N4" s="27"/>
      <c r="O4" s="27"/>
      <c r="P4" s="27"/>
      <c r="Q4" s="27"/>
      <c r="R4" s="27"/>
    </row>
    <row r="5" spans="1:26" x14ac:dyDescent="0.3">
      <c r="A5" s="29"/>
      <c r="B5" s="29"/>
      <c r="C5" s="29"/>
      <c r="D5" s="29"/>
      <c r="E5" s="29"/>
      <c r="F5" s="29"/>
      <c r="G5" s="29"/>
      <c r="W5" s="62" t="s">
        <v>767</v>
      </c>
      <c r="X5" s="63"/>
      <c r="Y5" s="63"/>
      <c r="Z5" s="64"/>
    </row>
    <row r="6" spans="1:26" x14ac:dyDescent="0.3">
      <c r="A6" s="29"/>
      <c r="B6" s="29"/>
      <c r="D6" s="29"/>
      <c r="W6" s="65"/>
      <c r="X6" s="66"/>
      <c r="Y6" s="66"/>
      <c r="Z6" s="67"/>
    </row>
    <row r="7" spans="1:26" ht="43.2" x14ac:dyDescent="0.3">
      <c r="A7" s="1" t="s">
        <v>0</v>
      </c>
      <c r="B7" s="1" t="s">
        <v>1</v>
      </c>
      <c r="C7" s="51" t="s">
        <v>751</v>
      </c>
      <c r="D7" s="60" t="s">
        <v>765</v>
      </c>
      <c r="E7" s="60" t="s">
        <v>762</v>
      </c>
      <c r="F7" s="60" t="s">
        <v>763</v>
      </c>
      <c r="G7" s="60" t="s">
        <v>764</v>
      </c>
    </row>
    <row r="8" spans="1:26" x14ac:dyDescent="0.3">
      <c r="A8" s="2" t="s">
        <v>10</v>
      </c>
      <c r="B8" s="3" t="s">
        <v>11</v>
      </c>
      <c r="C8" s="4">
        <v>700</v>
      </c>
      <c r="D8" s="61"/>
      <c r="E8" s="61"/>
      <c r="F8" s="61"/>
      <c r="G8" s="61"/>
    </row>
    <row r="9" spans="1:26" x14ac:dyDescent="0.3">
      <c r="A9" s="2" t="s">
        <v>12</v>
      </c>
      <c r="B9" s="3" t="s">
        <v>13</v>
      </c>
      <c r="C9" s="4">
        <v>300</v>
      </c>
      <c r="D9" s="61"/>
      <c r="E9" s="61"/>
      <c r="F9" s="61"/>
      <c r="G9" s="61"/>
    </row>
    <row r="10" spans="1:26" x14ac:dyDescent="0.3">
      <c r="A10" s="2" t="s">
        <v>14</v>
      </c>
      <c r="B10" s="3" t="s">
        <v>15</v>
      </c>
      <c r="C10" s="4">
        <v>400</v>
      </c>
      <c r="D10" s="61"/>
      <c r="E10" s="61"/>
      <c r="F10" s="61"/>
      <c r="G10" s="61"/>
    </row>
    <row r="11" spans="1:26" x14ac:dyDescent="0.3">
      <c r="A11" s="2" t="s">
        <v>16</v>
      </c>
      <c r="B11" s="3" t="s">
        <v>17</v>
      </c>
      <c r="C11" s="4">
        <v>380</v>
      </c>
      <c r="D11" s="61"/>
      <c r="E11" s="61"/>
      <c r="F11" s="61"/>
      <c r="G11" s="61"/>
    </row>
    <row r="12" spans="1:26" x14ac:dyDescent="0.3">
      <c r="A12" s="2" t="s">
        <v>18</v>
      </c>
      <c r="B12" s="3" t="s">
        <v>19</v>
      </c>
      <c r="C12" s="4">
        <v>50</v>
      </c>
      <c r="D12" s="61"/>
      <c r="E12" s="61"/>
      <c r="F12" s="61"/>
      <c r="G12" s="61"/>
    </row>
    <row r="13" spans="1:26" x14ac:dyDescent="0.3">
      <c r="A13" s="7">
        <v>36311006</v>
      </c>
      <c r="B13" s="3" t="s">
        <v>20</v>
      </c>
      <c r="C13" s="4">
        <v>960</v>
      </c>
      <c r="D13" s="61"/>
      <c r="E13" s="61"/>
      <c r="F13" s="61"/>
      <c r="G13" s="61"/>
    </row>
    <row r="14" spans="1:26" x14ac:dyDescent="0.3">
      <c r="A14" s="2" t="s">
        <v>21</v>
      </c>
      <c r="B14" s="3" t="s">
        <v>22</v>
      </c>
      <c r="C14" s="4">
        <v>300</v>
      </c>
      <c r="D14" s="61"/>
      <c r="E14" s="61"/>
      <c r="F14" s="61"/>
      <c r="G14" s="61"/>
    </row>
    <row r="15" spans="1:26" x14ac:dyDescent="0.3">
      <c r="A15" s="2" t="s">
        <v>23</v>
      </c>
      <c r="B15" s="3" t="s">
        <v>24</v>
      </c>
      <c r="C15" s="4">
        <v>400</v>
      </c>
      <c r="D15" s="61"/>
      <c r="E15" s="61"/>
      <c r="F15" s="61"/>
      <c r="G15" s="61"/>
    </row>
    <row r="16" spans="1:26" x14ac:dyDescent="0.3">
      <c r="A16" s="12" t="s">
        <v>708</v>
      </c>
      <c r="B16" s="13"/>
      <c r="C16" s="4">
        <f>SUM(C8:C15)</f>
        <v>3490</v>
      </c>
      <c r="D16" s="14"/>
      <c r="E16" s="6"/>
      <c r="F16" s="6"/>
      <c r="G16" s="59"/>
      <c r="H16" s="30"/>
    </row>
    <row r="18" spans="1:1" x14ac:dyDescent="0.3">
      <c r="A18" s="26" t="s">
        <v>771</v>
      </c>
    </row>
  </sheetData>
  <mergeCells count="6">
    <mergeCell ref="A16:B16"/>
    <mergeCell ref="W5:Z6"/>
    <mergeCell ref="H4:I4"/>
    <mergeCell ref="J4:K4"/>
    <mergeCell ref="D4:E4"/>
    <mergeCell ref="A1:J2"/>
  </mergeCells>
  <conditionalFormatting sqref="A8:A1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vt:lpstr>
      <vt:lpstr>COSTING</vt:lpstr>
      <vt:lpstr>GRN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2026-06-11T07:44:30Z</dcterms:created>
  <dcterms:modified xsi:type="dcterms:W3CDTF">2026-06-11T08:53:35Z</dcterms:modified>
</cp:coreProperties>
</file>